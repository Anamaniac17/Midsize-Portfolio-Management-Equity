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shrutichadha/Desktop/Anmol Grade 12/Projects/BST/"/>
    </mc:Choice>
  </mc:AlternateContent>
  <xr:revisionPtr revIDLastSave="0" documentId="13_ncr:1_{B1647928-2D72-1545-83AD-91D80B40D1CE}" xr6:coauthVersionLast="47" xr6:coauthVersionMax="47" xr10:uidLastSave="{00000000-0000-0000-0000-000000000000}"/>
  <bookViews>
    <workbookView xWindow="0" yWindow="500" windowWidth="28800" windowHeight="16040" activeTab="5" xr2:uid="{13B2E333-5B22-614E-8CE9-70F3B426655C}"/>
  </bookViews>
  <sheets>
    <sheet name="List of Stocks" sheetId="4" r:id="rId1"/>
    <sheet name="MidCap Glenmark" sheetId="2" r:id="rId2"/>
    <sheet name="MidCap Cyient" sheetId="5" r:id="rId3"/>
    <sheet name="MidCap EicherMot" sheetId="6" r:id="rId4"/>
    <sheet name="Small Cap Raymond" sheetId="3" r:id="rId5"/>
    <sheet name="Small Cap Styrenix" sheetId="10" r:id="rId6"/>
    <sheet name="Consolidated sheet" sheetId="7" r:id="rId7"/>
    <sheet name="P L" sheetId="11" r:id="rId8"/>
  </sheets>
  <definedNames>
    <definedName name="_xlnm._FilterDatabase" localSheetId="0" hidden="1">'List of Stocks'!$C$1:$C$26</definedName>
    <definedName name="_xlnm.Print_Area" localSheetId="6">'Consolidated sheet'!$A$1:$K$22</definedName>
    <definedName name="_xlnm.Print_Area" localSheetId="0">'List of Stocks'!$A$1:$D$26</definedName>
    <definedName name="_xlnm.Print_Area" localSheetId="2">'MidCap Cyient'!$A$1:$F$24</definedName>
    <definedName name="_xlnm.Print_Area" localSheetId="3">'MidCap EicherMot'!$A$1:$F$24</definedName>
    <definedName name="_xlnm.Print_Area" localSheetId="1">'MidCap Glenmark'!$A$1:$F$24</definedName>
    <definedName name="_xlnm.Print_Area" localSheetId="4">'Small Cap Raymond'!$A$1:$F$24</definedName>
    <definedName name="_xlnm.Print_Area" localSheetId="5">'Small Cap Styrenix'!$A$1:$F$24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7" l="1"/>
  <c r="L24" i="7"/>
  <c r="D33" i="3"/>
  <c r="D33" i="5"/>
  <c r="D33" i="10"/>
  <c r="C32" i="2"/>
  <c r="D11" i="11"/>
  <c r="D8" i="11"/>
  <c r="D6" i="11"/>
  <c r="D4" i="11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" i="7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4" i="10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4" i="3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4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4" i="5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4" i="2"/>
  <c r="F24" i="5"/>
  <c r="F20" i="5"/>
  <c r="F21" i="5"/>
  <c r="F22" i="5"/>
  <c r="F23" i="5"/>
  <c r="F15" i="5"/>
  <c r="F16" i="5"/>
  <c r="F17" i="5"/>
  <c r="F18" i="5"/>
  <c r="F19" i="5"/>
  <c r="F14" i="5"/>
  <c r="F11" i="5"/>
  <c r="F12" i="5"/>
  <c r="F13" i="5"/>
  <c r="F10" i="5"/>
  <c r="F6" i="5"/>
  <c r="F7" i="5"/>
  <c r="F8" i="5"/>
  <c r="F9" i="5"/>
  <c r="F5" i="5"/>
  <c r="F4" i="5"/>
  <c r="F6" i="2"/>
  <c r="F19" i="2"/>
  <c r="F24" i="10"/>
  <c r="F23" i="10"/>
  <c r="F20" i="10"/>
  <c r="F21" i="10"/>
  <c r="F22" i="10"/>
  <c r="F19" i="10"/>
  <c r="F15" i="10"/>
  <c r="F16" i="10"/>
  <c r="F17" i="10"/>
  <c r="F18" i="10"/>
  <c r="F14" i="10"/>
  <c r="F11" i="10"/>
  <c r="F12" i="10"/>
  <c r="F13" i="10"/>
  <c r="F10" i="10"/>
  <c r="F6" i="10"/>
  <c r="F7" i="10"/>
  <c r="F8" i="10"/>
  <c r="F9" i="10"/>
  <c r="F5" i="10"/>
  <c r="F4" i="10"/>
  <c r="C27" i="10"/>
  <c r="D30" i="10" s="1"/>
  <c r="C26" i="10"/>
  <c r="D29" i="10" s="1"/>
  <c r="C27" i="2"/>
  <c r="C30" i="2" s="1"/>
  <c r="C26" i="2"/>
  <c r="C29" i="2" s="1"/>
  <c r="C27" i="5"/>
  <c r="D30" i="5" s="1"/>
  <c r="C26" i="5"/>
  <c r="D29" i="5" s="1"/>
  <c r="C27" i="6"/>
  <c r="D30" i="6" s="1"/>
  <c r="C26" i="6"/>
  <c r="D29" i="6" s="1"/>
  <c r="C26" i="3"/>
  <c r="D29" i="3" s="1"/>
  <c r="C27" i="3"/>
  <c r="D30" i="3" s="1"/>
  <c r="F24" i="6"/>
  <c r="F20" i="6"/>
  <c r="F21" i="6"/>
  <c r="F22" i="6"/>
  <c r="F23" i="6"/>
  <c r="F19" i="6"/>
  <c r="F15" i="6"/>
  <c r="F16" i="6"/>
  <c r="F17" i="6"/>
  <c r="F18" i="6"/>
  <c r="F14" i="6"/>
  <c r="F11" i="6"/>
  <c r="F12" i="6"/>
  <c r="F13" i="6"/>
  <c r="F10" i="6"/>
  <c r="F5" i="6"/>
  <c r="F6" i="6"/>
  <c r="F7" i="6"/>
  <c r="F8" i="6"/>
  <c r="F9" i="6"/>
  <c r="F4" i="6"/>
  <c r="F24" i="2"/>
  <c r="F20" i="2"/>
  <c r="F21" i="2"/>
  <c r="F22" i="2"/>
  <c r="F23" i="2"/>
  <c r="F15" i="2"/>
  <c r="F16" i="2"/>
  <c r="F17" i="2"/>
  <c r="F18" i="2"/>
  <c r="F14" i="2"/>
  <c r="F19" i="3"/>
  <c r="F20" i="3"/>
  <c r="F21" i="3"/>
  <c r="F22" i="3"/>
  <c r="F23" i="3"/>
  <c r="F24" i="3"/>
  <c r="F15" i="3"/>
  <c r="F16" i="3"/>
  <c r="F17" i="3"/>
  <c r="F18" i="3"/>
  <c r="F14" i="3"/>
  <c r="F5" i="2"/>
  <c r="F7" i="2"/>
  <c r="F8" i="2"/>
  <c r="F9" i="2"/>
  <c r="F10" i="2"/>
  <c r="F11" i="2"/>
  <c r="F12" i="2"/>
  <c r="F13" i="2"/>
  <c r="F4" i="2"/>
  <c r="F5" i="3"/>
  <c r="F6" i="3"/>
  <c r="F7" i="3"/>
  <c r="F8" i="3"/>
  <c r="F9" i="3"/>
  <c r="F10" i="3"/>
  <c r="F11" i="3"/>
  <c r="F12" i="3"/>
  <c r="F13" i="3"/>
  <c r="F4" i="3"/>
  <c r="D31" i="3" l="1"/>
  <c r="D31" i="5"/>
  <c r="D31" i="10"/>
  <c r="C31" i="2"/>
  <c r="D31" i="6"/>
</calcChain>
</file>

<file path=xl/sharedStrings.xml><?xml version="1.0" encoding="utf-8"?>
<sst xmlns="http://schemas.openxmlformats.org/spreadsheetml/2006/main" count="292" uniqueCount="102">
  <si>
    <t>Date</t>
  </si>
  <si>
    <t>High</t>
  </si>
  <si>
    <t>Closing Price</t>
  </si>
  <si>
    <t>13th May</t>
  </si>
  <si>
    <t>14th May</t>
  </si>
  <si>
    <t>15th May</t>
  </si>
  <si>
    <t>16th May</t>
  </si>
  <si>
    <t>17th May</t>
  </si>
  <si>
    <t>21st May</t>
  </si>
  <si>
    <t>22nd May</t>
  </si>
  <si>
    <t>23rd May</t>
  </si>
  <si>
    <t>24th May</t>
  </si>
  <si>
    <t>27th May</t>
  </si>
  <si>
    <t>28th May</t>
  </si>
  <si>
    <t>29th May</t>
  </si>
  <si>
    <t>30th May</t>
  </si>
  <si>
    <t>31st May</t>
  </si>
  <si>
    <t>Tata Motors</t>
  </si>
  <si>
    <t>Stocks to invest</t>
  </si>
  <si>
    <t>Eicher Motors</t>
  </si>
  <si>
    <t>Hitachi Energy Ltd.</t>
  </si>
  <si>
    <t>Hindustan Copper</t>
  </si>
  <si>
    <t>Lloyds Metal and Energy</t>
  </si>
  <si>
    <t>Blue Star</t>
  </si>
  <si>
    <t>Glenmark Pharmaceuticals</t>
  </si>
  <si>
    <t>Pfizer</t>
  </si>
  <si>
    <t>Cyient</t>
  </si>
  <si>
    <t>S.No.</t>
  </si>
  <si>
    <t>IDFC</t>
  </si>
  <si>
    <t>Market Cap</t>
  </si>
  <si>
    <t>Large Cap</t>
  </si>
  <si>
    <t>Mid cap</t>
  </si>
  <si>
    <t>Raymond</t>
  </si>
  <si>
    <t>Rainbow Childrens Medicare Ltd.</t>
  </si>
  <si>
    <t>Small Cap</t>
  </si>
  <si>
    <t>Sector</t>
  </si>
  <si>
    <t>Electronics</t>
  </si>
  <si>
    <t>Misc. Capital Goods</t>
  </si>
  <si>
    <t>Godrej Industries</t>
  </si>
  <si>
    <t>Food Processing</t>
  </si>
  <si>
    <t>Pharmaceutical</t>
  </si>
  <si>
    <t>Software and Programming</t>
  </si>
  <si>
    <t>ONGC</t>
  </si>
  <si>
    <t>Oil</t>
  </si>
  <si>
    <t>Investment Services</t>
  </si>
  <si>
    <t>JIOFIN</t>
  </si>
  <si>
    <t>Financial Services</t>
  </si>
  <si>
    <t>Reliance</t>
  </si>
  <si>
    <t>Styrenix</t>
  </si>
  <si>
    <t>LIC</t>
  </si>
  <si>
    <t>Life Insurance</t>
  </si>
  <si>
    <t>Pidilite Ind</t>
  </si>
  <si>
    <t>Havells India</t>
  </si>
  <si>
    <t>Consumer and speciality Chemicals</t>
  </si>
  <si>
    <t>Electrical equipment and appliances</t>
  </si>
  <si>
    <t>Metal Mining</t>
  </si>
  <si>
    <t>Automotive</t>
  </si>
  <si>
    <t>Paras Defence and Space Technology</t>
  </si>
  <si>
    <t>Mid Cap</t>
  </si>
  <si>
    <t>Multi sector</t>
  </si>
  <si>
    <t>Metal and Energy</t>
  </si>
  <si>
    <t>AstraZenca Pharma India Ltd</t>
  </si>
  <si>
    <t>Small cap</t>
  </si>
  <si>
    <t>Drones</t>
  </si>
  <si>
    <t>Textiles</t>
  </si>
  <si>
    <t>Dixon</t>
  </si>
  <si>
    <t>Electronic goods</t>
  </si>
  <si>
    <t>Invested: INR 10000</t>
  </si>
  <si>
    <t>Name of the Stock :  Glenmark</t>
  </si>
  <si>
    <t>Name of the Stock :  Raymond</t>
  </si>
  <si>
    <t>10th May</t>
  </si>
  <si>
    <t>Open</t>
  </si>
  <si>
    <t>Low  Price</t>
  </si>
  <si>
    <t>3rd June</t>
  </si>
  <si>
    <t>4th June</t>
  </si>
  <si>
    <t>5th June</t>
  </si>
  <si>
    <t>6th June</t>
  </si>
  <si>
    <t>7th June</t>
  </si>
  <si>
    <t>10th June</t>
  </si>
  <si>
    <t>% Change</t>
  </si>
  <si>
    <t>%Change</t>
  </si>
  <si>
    <t>Name of the Stock : EicherMot</t>
  </si>
  <si>
    <t>Ending Price of the Stock:</t>
  </si>
  <si>
    <t>Starting Price of the Stock:</t>
  </si>
  <si>
    <t>Total No. of Shares bought:</t>
  </si>
  <si>
    <t>Value of portfolio on 10th June 2024:</t>
  </si>
  <si>
    <t>Initial Value of the Portfolio on 10th May 2024:</t>
  </si>
  <si>
    <t>Net Profit/Loss:</t>
  </si>
  <si>
    <t>Glenmark</t>
  </si>
  <si>
    <t>EicherMotor</t>
  </si>
  <si>
    <t>Name of the Stock :  Styrenix</t>
  </si>
  <si>
    <t>Name of the Stock :  Cyient</t>
  </si>
  <si>
    <t>HAL</t>
  </si>
  <si>
    <t>Nykaa</t>
  </si>
  <si>
    <t>Aeraunautics</t>
  </si>
  <si>
    <t>Ecommerce</t>
  </si>
  <si>
    <t>Producer of Plastic Resin 
used in multiple industries</t>
  </si>
  <si>
    <t>Initial Value of 
the Portfolio on 10th May 2024</t>
  </si>
  <si>
    <t>Value of portfolio on 
10th June 2024</t>
  </si>
  <si>
    <t>Invested Amount</t>
  </si>
  <si>
    <t>Total Amount Invested</t>
  </si>
  <si>
    <t>Sum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</si>
</sst>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0.0%"/>
  </numFmts>
  <fonts count="20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scheme val="minor"/>
    </font>
    <font>
      <sz val="18"/>
      <color theme="1"/>
      <name val="Aptos Narrow"/>
      <scheme val="minor"/>
    </font>
    <font>
      <b/>
      <sz val="18"/>
      <color theme="6" tint="-0.249977111117893"/>
      <name val="Aptos Narrow"/>
      <scheme val="minor"/>
    </font>
    <font>
      <b/>
      <sz val="18"/>
      <color rgb="FFC00000"/>
      <name val="Aptos Narrow"/>
      <scheme val="minor"/>
    </font>
    <font>
      <b/>
      <sz val="18"/>
      <color theme="6"/>
      <name val="Aptos Narrow"/>
      <scheme val="minor"/>
    </font>
    <font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4"/>
      <color theme="1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6"/>
      <name val="Aptos Narrow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  <font>
      <b/>
      <sz val="16"/>
      <color theme="6"/>
      <name val="Aptos Narrow"/>
      <scheme val="minor"/>
    </font>
    <font>
      <b/>
      <sz val="16"/>
      <color rgb="FFFF0000"/>
      <name val="Aptos Narrow"/>
      <scheme val="minor"/>
    </font>
    <font>
      <b/>
      <sz val="14"/>
      <color theme="0"/>
      <name val="Arial"/>
      <family val="2"/>
    </font>
    <font>
      <sz val="14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03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1" fillId="4" borderId="0" xfId="0" applyFont="1" applyFill="1"/>
    <xf numFmtId="0" fontId="3" fillId="2" borderId="1" xfId="0" applyFont="1" applyFill="1" applyBorder="1"/>
    <xf numFmtId="0" fontId="3" fillId="3" borderId="1" xfId="0" applyFont="1" applyFill="1" applyBorder="1"/>
    <xf numFmtId="0" fontId="3" fillId="6" borderId="1" xfId="0" applyFont="1" applyFill="1" applyBorder="1"/>
    <xf numFmtId="0" fontId="4" fillId="4" borderId="1" xfId="0" applyFont="1" applyFill="1" applyBorder="1"/>
    <xf numFmtId="164" fontId="1" fillId="0" borderId="1" xfId="0" applyNumberFormat="1" applyFont="1" applyBorder="1"/>
    <xf numFmtId="0" fontId="1" fillId="0" borderId="4" xfId="0" applyFont="1" applyBorder="1"/>
    <xf numFmtId="0" fontId="3" fillId="3" borderId="4" xfId="0" applyFont="1" applyFill="1" applyBorder="1"/>
    <xf numFmtId="164" fontId="1" fillId="0" borderId="4" xfId="0" applyNumberFormat="1" applyFont="1" applyBorder="1"/>
    <xf numFmtId="165" fontId="3" fillId="3" borderId="1" xfId="0" applyNumberFormat="1" applyFont="1" applyFill="1" applyBorder="1"/>
    <xf numFmtId="165" fontId="5" fillId="4" borderId="1" xfId="0" applyNumberFormat="1" applyFont="1" applyFill="1" applyBorder="1"/>
    <xf numFmtId="165" fontId="6" fillId="4" borderId="1" xfId="0" applyNumberFormat="1" applyFont="1" applyFill="1" applyBorder="1"/>
    <xf numFmtId="165" fontId="1" fillId="0" borderId="1" xfId="0" applyNumberFormat="1" applyFont="1" applyBorder="1"/>
    <xf numFmtId="165" fontId="3" fillId="2" borderId="1" xfId="0" applyNumberFormat="1" applyFont="1" applyFill="1" applyBorder="1"/>
    <xf numFmtId="165" fontId="7" fillId="4" borderId="1" xfId="0" applyNumberFormat="1" applyFont="1" applyFill="1" applyBorder="1"/>
    <xf numFmtId="0" fontId="9" fillId="0" borderId="0" xfId="0" applyFont="1"/>
    <xf numFmtId="164" fontId="1" fillId="0" borderId="6" xfId="0" applyNumberFormat="1" applyFont="1" applyBorder="1"/>
    <xf numFmtId="0" fontId="1" fillId="0" borderId="7" xfId="0" applyFont="1" applyBorder="1"/>
    <xf numFmtId="164" fontId="1" fillId="0" borderId="0" xfId="0" applyNumberFormat="1" applyFont="1"/>
    <xf numFmtId="0" fontId="1" fillId="0" borderId="9" xfId="0" applyFont="1" applyBorder="1"/>
    <xf numFmtId="0" fontId="1" fillId="0" borderId="8" xfId="0" applyFont="1" applyBorder="1"/>
    <xf numFmtId="0" fontId="7" fillId="0" borderId="12" xfId="0" applyFont="1" applyBorder="1"/>
    <xf numFmtId="43" fontId="9" fillId="0" borderId="0" xfId="1" applyFont="1"/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2" fillId="0" borderId="0" xfId="0" applyFont="1"/>
    <xf numFmtId="1" fontId="12" fillId="0" borderId="0" xfId="0" applyNumberFormat="1" applyFont="1"/>
    <xf numFmtId="165" fontId="12" fillId="0" borderId="1" xfId="0" applyNumberFormat="1" applyFont="1" applyBorder="1"/>
    <xf numFmtId="1" fontId="12" fillId="0" borderId="6" xfId="0" applyNumberFormat="1" applyFont="1" applyBorder="1"/>
    <xf numFmtId="0" fontId="12" fillId="0" borderId="7" xfId="0" applyFont="1" applyBorder="1"/>
    <xf numFmtId="0" fontId="12" fillId="0" borderId="9" xfId="0" applyFont="1" applyBorder="1"/>
    <xf numFmtId="0" fontId="12" fillId="0" borderId="8" xfId="0" applyFont="1" applyBorder="1"/>
    <xf numFmtId="164" fontId="13" fillId="0" borderId="12" xfId="0" applyNumberFormat="1" applyFont="1" applyBorder="1"/>
    <xf numFmtId="0" fontId="14" fillId="2" borderId="1" xfId="0" applyFont="1" applyFill="1" applyBorder="1"/>
    <xf numFmtId="1" fontId="14" fillId="2" borderId="1" xfId="0" applyNumberFormat="1" applyFont="1" applyFill="1" applyBorder="1"/>
    <xf numFmtId="0" fontId="14" fillId="2" borderId="4" xfId="0" applyFont="1" applyFill="1" applyBorder="1"/>
    <xf numFmtId="165" fontId="14" fillId="2" borderId="4" xfId="0" applyNumberFormat="1" applyFont="1" applyFill="1" applyBorder="1"/>
    <xf numFmtId="0" fontId="15" fillId="0" borderId="1" xfId="0" applyFont="1" applyBorder="1"/>
    <xf numFmtId="1" fontId="15" fillId="0" borderId="1" xfId="0" applyNumberFormat="1" applyFont="1" applyBorder="1"/>
    <xf numFmtId="164" fontId="15" fillId="0" borderId="1" xfId="0" applyNumberFormat="1" applyFont="1" applyBorder="1"/>
    <xf numFmtId="164" fontId="15" fillId="0" borderId="4" xfId="0" applyNumberFormat="1" applyFont="1" applyBorder="1"/>
    <xf numFmtId="0" fontId="7" fillId="0" borderId="1" xfId="0" applyFont="1" applyBorder="1"/>
    <xf numFmtId="165" fontId="3" fillId="6" borderId="1" xfId="0" applyNumberFormat="1" applyFont="1" applyFill="1" applyBorder="1"/>
    <xf numFmtId="165" fontId="15" fillId="0" borderId="1" xfId="0" applyNumberFormat="1" applyFont="1" applyBorder="1"/>
    <xf numFmtId="0" fontId="3" fillId="6" borderId="13" xfId="0" applyFont="1" applyFill="1" applyBorder="1"/>
    <xf numFmtId="165" fontId="9" fillId="0" borderId="1" xfId="0" applyNumberFormat="1" applyFont="1" applyBorder="1"/>
    <xf numFmtId="0" fontId="18" fillId="7" borderId="1" xfId="0" applyFont="1" applyFill="1" applyBorder="1" applyAlignment="1">
      <alignment horizontal="center"/>
    </xf>
    <xf numFmtId="0" fontId="18" fillId="7" borderId="1" xfId="0" applyFont="1" applyFill="1" applyBorder="1"/>
    <xf numFmtId="0" fontId="19" fillId="0" borderId="1" xfId="0" applyFont="1" applyBorder="1" applyAlignment="1">
      <alignment horizontal="center"/>
    </xf>
    <xf numFmtId="0" fontId="19" fillId="4" borderId="1" xfId="0" applyFont="1" applyFill="1" applyBorder="1"/>
    <xf numFmtId="0" fontId="19" fillId="0" borderId="1" xfId="0" applyFont="1" applyBorder="1"/>
    <xf numFmtId="0" fontId="19" fillId="5" borderId="1" xfId="0" applyFont="1" applyFill="1" applyBorder="1"/>
    <xf numFmtId="0" fontId="19" fillId="5" borderId="1" xfId="0" applyFont="1" applyFill="1" applyBorder="1" applyAlignment="1">
      <alignment wrapText="1"/>
    </xf>
    <xf numFmtId="0" fontId="3" fillId="4" borderId="1" xfId="0" applyFont="1" applyFill="1" applyBorder="1"/>
    <xf numFmtId="0" fontId="1" fillId="4" borderId="1" xfId="0" applyFont="1" applyFill="1" applyBorder="1"/>
    <xf numFmtId="165" fontId="16" fillId="4" borderId="4" xfId="0" applyNumberFormat="1" applyFont="1" applyFill="1" applyBorder="1"/>
    <xf numFmtId="165" fontId="17" fillId="4" borderId="4" xfId="0" applyNumberFormat="1" applyFont="1" applyFill="1" applyBorder="1"/>
    <xf numFmtId="0" fontId="12" fillId="4" borderId="1" xfId="0" applyFont="1" applyFill="1" applyBorder="1"/>
    <xf numFmtId="0" fontId="11" fillId="4" borderId="1" xfId="0" applyFont="1" applyFill="1" applyBorder="1" applyAlignment="1">
      <alignment horizontal="center"/>
    </xf>
    <xf numFmtId="0" fontId="12" fillId="0" borderId="1" xfId="0" applyFont="1" applyBorder="1"/>
    <xf numFmtId="0" fontId="11" fillId="4" borderId="1" xfId="0" applyFont="1" applyFill="1" applyBorder="1"/>
    <xf numFmtId="0" fontId="3" fillId="4" borderId="1" xfId="0" applyFont="1" applyFill="1" applyBorder="1" applyAlignment="1">
      <alignment horizontal="center"/>
    </xf>
    <xf numFmtId="164" fontId="1" fillId="4" borderId="1" xfId="0" applyNumberFormat="1" applyFont="1" applyFill="1" applyBorder="1"/>
    <xf numFmtId="164" fontId="3" fillId="3" borderId="1" xfId="0" applyNumberFormat="1" applyFont="1" applyFill="1" applyBorder="1"/>
    <xf numFmtId="164" fontId="3" fillId="4" borderId="1" xfId="0" applyNumberFormat="1" applyFont="1" applyFill="1" applyBorder="1"/>
    <xf numFmtId="164" fontId="9" fillId="0" borderId="1" xfId="0" applyNumberFormat="1" applyFont="1" applyBorder="1"/>
    <xf numFmtId="164" fontId="9" fillId="0" borderId="0" xfId="0" applyNumberFormat="1" applyFont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2" borderId="4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12" fillId="0" borderId="8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8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10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1" fillId="4" borderId="1" xfId="0" applyFont="1" applyFill="1" applyBorder="1" applyAlignment="1">
      <alignment horizontal="center"/>
    </xf>
    <xf numFmtId="0" fontId="14" fillId="2" borderId="1" xfId="0" applyFont="1" applyFill="1" applyBorder="1"/>
    <xf numFmtId="0" fontId="14" fillId="2" borderId="4" xfId="0" applyFont="1" applyFill="1" applyBorder="1"/>
    <xf numFmtId="0" fontId="14" fillId="2" borderId="4" xfId="0" applyFont="1" applyFill="1" applyBorder="1" applyAlignment="1">
      <alignment horizontal="left"/>
    </xf>
    <xf numFmtId="0" fontId="14" fillId="2" borderId="3" xfId="0" applyFont="1" applyFill="1" applyBorder="1" applyAlignment="1">
      <alignment horizontal="left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3" borderId="4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'MidCap Glenmark'!$A$4:$A$24</c:f>
              <c:strCache>
                <c:ptCount val="21"/>
                <c:pt idx="0">
                  <c:v>10th May</c:v>
                </c:pt>
                <c:pt idx="1">
                  <c:v>13th May</c:v>
                </c:pt>
                <c:pt idx="2">
                  <c:v>14th May</c:v>
                </c:pt>
                <c:pt idx="3">
                  <c:v>15th May</c:v>
                </c:pt>
                <c:pt idx="4">
                  <c:v>16th May</c:v>
                </c:pt>
                <c:pt idx="5">
                  <c:v>17th May</c:v>
                </c:pt>
                <c:pt idx="6">
                  <c:v>21st May</c:v>
                </c:pt>
                <c:pt idx="7">
                  <c:v>22nd May</c:v>
                </c:pt>
                <c:pt idx="8">
                  <c:v>23rd May</c:v>
                </c:pt>
                <c:pt idx="9">
                  <c:v>24th May</c:v>
                </c:pt>
                <c:pt idx="10">
                  <c:v>27th May</c:v>
                </c:pt>
                <c:pt idx="11">
                  <c:v>28th May</c:v>
                </c:pt>
                <c:pt idx="12">
                  <c:v>29th May</c:v>
                </c:pt>
                <c:pt idx="13">
                  <c:v>30th May</c:v>
                </c:pt>
                <c:pt idx="14">
                  <c:v>31st May</c:v>
                </c:pt>
                <c:pt idx="15">
                  <c:v>3rd June</c:v>
                </c:pt>
                <c:pt idx="16">
                  <c:v>4th June</c:v>
                </c:pt>
                <c:pt idx="17">
                  <c:v>5th June</c:v>
                </c:pt>
                <c:pt idx="18">
                  <c:v>6th June</c:v>
                </c:pt>
                <c:pt idx="19">
                  <c:v>7th June</c:v>
                </c:pt>
                <c:pt idx="20">
                  <c:v>10th June</c:v>
                </c:pt>
              </c:strCache>
            </c:strRef>
          </c:cat>
          <c:val>
            <c:numRef>
              <c:f>'MidCap Glenmark'!$B$4:$B$24</c:f>
            </c:numRef>
          </c:val>
          <c:smooth val="0"/>
          <c:extLst>
            <c:ext xmlns:c16="http://schemas.microsoft.com/office/drawing/2014/chart" uri="{C3380CC4-5D6E-409C-BE32-E72D297353CC}">
              <c16:uniqueId val="{00000000-CBE0-4D47-9CF8-85E9F4178D4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'MidCap Glenmark'!$A$4:$A$24</c:f>
              <c:strCache>
                <c:ptCount val="21"/>
                <c:pt idx="0">
                  <c:v>10th May</c:v>
                </c:pt>
                <c:pt idx="1">
                  <c:v>13th May</c:v>
                </c:pt>
                <c:pt idx="2">
                  <c:v>14th May</c:v>
                </c:pt>
                <c:pt idx="3">
                  <c:v>15th May</c:v>
                </c:pt>
                <c:pt idx="4">
                  <c:v>16th May</c:v>
                </c:pt>
                <c:pt idx="5">
                  <c:v>17th May</c:v>
                </c:pt>
                <c:pt idx="6">
                  <c:v>21st May</c:v>
                </c:pt>
                <c:pt idx="7">
                  <c:v>22nd May</c:v>
                </c:pt>
                <c:pt idx="8">
                  <c:v>23rd May</c:v>
                </c:pt>
                <c:pt idx="9">
                  <c:v>24th May</c:v>
                </c:pt>
                <c:pt idx="10">
                  <c:v>27th May</c:v>
                </c:pt>
                <c:pt idx="11">
                  <c:v>28th May</c:v>
                </c:pt>
                <c:pt idx="12">
                  <c:v>29th May</c:v>
                </c:pt>
                <c:pt idx="13">
                  <c:v>30th May</c:v>
                </c:pt>
                <c:pt idx="14">
                  <c:v>31st May</c:v>
                </c:pt>
                <c:pt idx="15">
                  <c:v>3rd June</c:v>
                </c:pt>
                <c:pt idx="16">
                  <c:v>4th June</c:v>
                </c:pt>
                <c:pt idx="17">
                  <c:v>5th June</c:v>
                </c:pt>
                <c:pt idx="18">
                  <c:v>6th June</c:v>
                </c:pt>
                <c:pt idx="19">
                  <c:v>7th June</c:v>
                </c:pt>
                <c:pt idx="20">
                  <c:v>10th June</c:v>
                </c:pt>
              </c:strCache>
            </c:strRef>
          </c:cat>
          <c:val>
            <c:numRef>
              <c:f>'MidCap Glenmark'!$C$4:$C$24</c:f>
            </c:numRef>
          </c:val>
          <c:smooth val="0"/>
          <c:extLst>
            <c:ext xmlns:c16="http://schemas.microsoft.com/office/drawing/2014/chart" uri="{C3380CC4-5D6E-409C-BE32-E72D297353CC}">
              <c16:uniqueId val="{00000001-CBE0-4D47-9CF8-85E9F4178D4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'MidCap Glenmark'!$A$4:$A$24</c:f>
              <c:strCache>
                <c:ptCount val="21"/>
                <c:pt idx="0">
                  <c:v>10th May</c:v>
                </c:pt>
                <c:pt idx="1">
                  <c:v>13th May</c:v>
                </c:pt>
                <c:pt idx="2">
                  <c:v>14th May</c:v>
                </c:pt>
                <c:pt idx="3">
                  <c:v>15th May</c:v>
                </c:pt>
                <c:pt idx="4">
                  <c:v>16th May</c:v>
                </c:pt>
                <c:pt idx="5">
                  <c:v>17th May</c:v>
                </c:pt>
                <c:pt idx="6">
                  <c:v>21st May</c:v>
                </c:pt>
                <c:pt idx="7">
                  <c:v>22nd May</c:v>
                </c:pt>
                <c:pt idx="8">
                  <c:v>23rd May</c:v>
                </c:pt>
                <c:pt idx="9">
                  <c:v>24th May</c:v>
                </c:pt>
                <c:pt idx="10">
                  <c:v>27th May</c:v>
                </c:pt>
                <c:pt idx="11">
                  <c:v>28th May</c:v>
                </c:pt>
                <c:pt idx="12">
                  <c:v>29th May</c:v>
                </c:pt>
                <c:pt idx="13">
                  <c:v>30th May</c:v>
                </c:pt>
                <c:pt idx="14">
                  <c:v>31st May</c:v>
                </c:pt>
                <c:pt idx="15">
                  <c:v>3rd June</c:v>
                </c:pt>
                <c:pt idx="16">
                  <c:v>4th June</c:v>
                </c:pt>
                <c:pt idx="17">
                  <c:v>5th June</c:v>
                </c:pt>
                <c:pt idx="18">
                  <c:v>6th June</c:v>
                </c:pt>
                <c:pt idx="19">
                  <c:v>7th June</c:v>
                </c:pt>
                <c:pt idx="20">
                  <c:v>10th June</c:v>
                </c:pt>
              </c:strCache>
            </c:strRef>
          </c:cat>
          <c:val>
            <c:numRef>
              <c:f>'MidCap Glenmark'!$D$4:$D$24</c:f>
            </c:numRef>
          </c:val>
          <c:smooth val="0"/>
          <c:extLst>
            <c:ext xmlns:c16="http://schemas.microsoft.com/office/drawing/2014/chart" uri="{C3380CC4-5D6E-409C-BE32-E72D297353CC}">
              <c16:uniqueId val="{00000002-CBE0-4D47-9CF8-85E9F4178D4F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'MidCap Glenmark'!$A$4:$A$24</c:f>
              <c:strCache>
                <c:ptCount val="21"/>
                <c:pt idx="0">
                  <c:v>10th May</c:v>
                </c:pt>
                <c:pt idx="1">
                  <c:v>13th May</c:v>
                </c:pt>
                <c:pt idx="2">
                  <c:v>14th May</c:v>
                </c:pt>
                <c:pt idx="3">
                  <c:v>15th May</c:v>
                </c:pt>
                <c:pt idx="4">
                  <c:v>16th May</c:v>
                </c:pt>
                <c:pt idx="5">
                  <c:v>17th May</c:v>
                </c:pt>
                <c:pt idx="6">
                  <c:v>21st May</c:v>
                </c:pt>
                <c:pt idx="7">
                  <c:v>22nd May</c:v>
                </c:pt>
                <c:pt idx="8">
                  <c:v>23rd May</c:v>
                </c:pt>
                <c:pt idx="9">
                  <c:v>24th May</c:v>
                </c:pt>
                <c:pt idx="10">
                  <c:v>27th May</c:v>
                </c:pt>
                <c:pt idx="11">
                  <c:v>28th May</c:v>
                </c:pt>
                <c:pt idx="12">
                  <c:v>29th May</c:v>
                </c:pt>
                <c:pt idx="13">
                  <c:v>30th May</c:v>
                </c:pt>
                <c:pt idx="14">
                  <c:v>31st May</c:v>
                </c:pt>
                <c:pt idx="15">
                  <c:v>3rd June</c:v>
                </c:pt>
                <c:pt idx="16">
                  <c:v>4th June</c:v>
                </c:pt>
                <c:pt idx="17">
                  <c:v>5th June</c:v>
                </c:pt>
                <c:pt idx="18">
                  <c:v>6th June</c:v>
                </c:pt>
                <c:pt idx="19">
                  <c:v>7th June</c:v>
                </c:pt>
                <c:pt idx="20">
                  <c:v>10th June</c:v>
                </c:pt>
              </c:strCache>
            </c:strRef>
          </c:cat>
          <c:val>
            <c:numRef>
              <c:f>'MidCap Glenmark'!$E$4:$E$24</c:f>
            </c:numRef>
          </c:val>
          <c:smooth val="0"/>
          <c:extLst>
            <c:ext xmlns:c16="http://schemas.microsoft.com/office/drawing/2014/chart" uri="{C3380CC4-5D6E-409C-BE32-E72D297353CC}">
              <c16:uniqueId val="{00000003-CBE0-4D47-9CF8-85E9F4178D4F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'MidCap Glenmark'!$A$4:$A$24</c:f>
              <c:strCache>
                <c:ptCount val="21"/>
                <c:pt idx="0">
                  <c:v>10th May</c:v>
                </c:pt>
                <c:pt idx="1">
                  <c:v>13th May</c:v>
                </c:pt>
                <c:pt idx="2">
                  <c:v>14th May</c:v>
                </c:pt>
                <c:pt idx="3">
                  <c:v>15th May</c:v>
                </c:pt>
                <c:pt idx="4">
                  <c:v>16th May</c:v>
                </c:pt>
                <c:pt idx="5">
                  <c:v>17th May</c:v>
                </c:pt>
                <c:pt idx="6">
                  <c:v>21st May</c:v>
                </c:pt>
                <c:pt idx="7">
                  <c:v>22nd May</c:v>
                </c:pt>
                <c:pt idx="8">
                  <c:v>23rd May</c:v>
                </c:pt>
                <c:pt idx="9">
                  <c:v>24th May</c:v>
                </c:pt>
                <c:pt idx="10">
                  <c:v>27th May</c:v>
                </c:pt>
                <c:pt idx="11">
                  <c:v>28th May</c:v>
                </c:pt>
                <c:pt idx="12">
                  <c:v>29th May</c:v>
                </c:pt>
                <c:pt idx="13">
                  <c:v>30th May</c:v>
                </c:pt>
                <c:pt idx="14">
                  <c:v>31st May</c:v>
                </c:pt>
                <c:pt idx="15">
                  <c:v>3rd June</c:v>
                </c:pt>
                <c:pt idx="16">
                  <c:v>4th June</c:v>
                </c:pt>
                <c:pt idx="17">
                  <c:v>5th June</c:v>
                </c:pt>
                <c:pt idx="18">
                  <c:v>6th June</c:v>
                </c:pt>
                <c:pt idx="19">
                  <c:v>7th June</c:v>
                </c:pt>
                <c:pt idx="20">
                  <c:v>10th June</c:v>
                </c:pt>
              </c:strCache>
            </c:strRef>
          </c:cat>
          <c:val>
            <c:numRef>
              <c:f>'MidCap Glenmark'!$F$4:$F$24</c:f>
            </c:numRef>
          </c:val>
          <c:smooth val="0"/>
          <c:extLst>
            <c:ext xmlns:c16="http://schemas.microsoft.com/office/drawing/2014/chart" uri="{C3380CC4-5D6E-409C-BE32-E72D297353CC}">
              <c16:uniqueId val="{00000004-CBE0-4D47-9CF8-85E9F4178D4F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'MidCap Glenmark'!$A$4:$A$24</c:f>
              <c:strCache>
                <c:ptCount val="21"/>
                <c:pt idx="0">
                  <c:v>10th May</c:v>
                </c:pt>
                <c:pt idx="1">
                  <c:v>13th May</c:v>
                </c:pt>
                <c:pt idx="2">
                  <c:v>14th May</c:v>
                </c:pt>
                <c:pt idx="3">
                  <c:v>15th May</c:v>
                </c:pt>
                <c:pt idx="4">
                  <c:v>16th May</c:v>
                </c:pt>
                <c:pt idx="5">
                  <c:v>17th May</c:v>
                </c:pt>
                <c:pt idx="6">
                  <c:v>21st May</c:v>
                </c:pt>
                <c:pt idx="7">
                  <c:v>22nd May</c:v>
                </c:pt>
                <c:pt idx="8">
                  <c:v>23rd May</c:v>
                </c:pt>
                <c:pt idx="9">
                  <c:v>24th May</c:v>
                </c:pt>
                <c:pt idx="10">
                  <c:v>27th May</c:v>
                </c:pt>
                <c:pt idx="11">
                  <c:v>28th May</c:v>
                </c:pt>
                <c:pt idx="12">
                  <c:v>29th May</c:v>
                </c:pt>
                <c:pt idx="13">
                  <c:v>30th May</c:v>
                </c:pt>
                <c:pt idx="14">
                  <c:v>31st May</c:v>
                </c:pt>
                <c:pt idx="15">
                  <c:v>3rd June</c:v>
                </c:pt>
                <c:pt idx="16">
                  <c:v>4th June</c:v>
                </c:pt>
                <c:pt idx="17">
                  <c:v>5th June</c:v>
                </c:pt>
                <c:pt idx="18">
                  <c:v>6th June</c:v>
                </c:pt>
                <c:pt idx="19">
                  <c:v>7th June</c:v>
                </c:pt>
                <c:pt idx="20">
                  <c:v>10th June</c:v>
                </c:pt>
              </c:strCache>
            </c:strRef>
          </c:cat>
          <c:val>
            <c:numRef>
              <c:f>'MidCap Glenmark'!$G$4:$G$24</c:f>
              <c:numCache>
                <c:formatCode>General</c:formatCode>
                <c:ptCount val="21"/>
                <c:pt idx="0">
                  <c:v>10239.5</c:v>
                </c:pt>
                <c:pt idx="1">
                  <c:v>10331.5</c:v>
                </c:pt>
                <c:pt idx="2">
                  <c:v>10112.5</c:v>
                </c:pt>
                <c:pt idx="3">
                  <c:v>10024</c:v>
                </c:pt>
                <c:pt idx="4">
                  <c:v>10053</c:v>
                </c:pt>
                <c:pt idx="5">
                  <c:v>10195.5</c:v>
                </c:pt>
                <c:pt idx="6">
                  <c:v>10344.5</c:v>
                </c:pt>
                <c:pt idx="7">
                  <c:v>10253.5</c:v>
                </c:pt>
                <c:pt idx="8">
                  <c:v>10276</c:v>
                </c:pt>
                <c:pt idx="9">
                  <c:v>10360</c:v>
                </c:pt>
                <c:pt idx="10">
                  <c:v>11201.5</c:v>
                </c:pt>
                <c:pt idx="11">
                  <c:v>11600.5</c:v>
                </c:pt>
                <c:pt idx="12">
                  <c:v>11782</c:v>
                </c:pt>
                <c:pt idx="13">
                  <c:v>11560</c:v>
                </c:pt>
                <c:pt idx="14">
                  <c:v>11680</c:v>
                </c:pt>
                <c:pt idx="15">
                  <c:v>11821</c:v>
                </c:pt>
                <c:pt idx="16">
                  <c:v>11262</c:v>
                </c:pt>
                <c:pt idx="17">
                  <c:v>11876.5</c:v>
                </c:pt>
                <c:pt idx="18">
                  <c:v>12139.5</c:v>
                </c:pt>
                <c:pt idx="19">
                  <c:v>11984</c:v>
                </c:pt>
                <c:pt idx="20">
                  <c:v>12081.5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BE0-4D47-9CF8-85E9F4178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7006879"/>
        <c:axId val="1657008591"/>
      </c:lineChart>
      <c:catAx>
        <c:axId val="165700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008591"/>
        <c:crosses val="autoZero"/>
        <c:auto val="1"/>
        <c:lblAlgn val="ctr"/>
        <c:lblOffset val="100"/>
        <c:noMultiLvlLbl val="0"/>
      </c:catAx>
      <c:valAx>
        <c:axId val="165700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006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6350</xdr:colOff>
      <xdr:row>3</xdr:row>
      <xdr:rowOff>76200</xdr:rowOff>
    </xdr:from>
    <xdr:to>
      <xdr:col>20</xdr:col>
      <xdr:colOff>101600</xdr:colOff>
      <xdr:row>24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DA549C-7B37-F5AE-C598-72748898B8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F2648-DB6D-DE49-9341-492DA7962CAE}">
  <dimension ref="A1:D26"/>
  <sheetViews>
    <sheetView view="pageBreakPreview" zoomScale="150" zoomScaleNormal="87" zoomScaleSheetLayoutView="150" workbookViewId="0">
      <selection activeCell="G10" sqref="G10"/>
    </sheetView>
  </sheetViews>
  <sheetFormatPr baseColWidth="10" defaultRowHeight="30" x14ac:dyDescent="0.3"/>
  <cols>
    <col min="1" max="1" width="12.1640625" style="29" bestFit="1" customWidth="1"/>
    <col min="2" max="2" width="32.33203125" style="28" bestFit="1" customWidth="1"/>
    <col min="3" max="3" width="13.33203125" style="28" bestFit="1" customWidth="1"/>
    <col min="4" max="4" width="38" style="28" customWidth="1"/>
    <col min="5" max="16384" width="10.83203125" style="28"/>
  </cols>
  <sheetData>
    <row r="1" spans="1:4" x14ac:dyDescent="0.3">
      <c r="A1" s="51" t="s">
        <v>27</v>
      </c>
      <c r="B1" s="52" t="s">
        <v>18</v>
      </c>
      <c r="C1" s="52" t="s">
        <v>29</v>
      </c>
      <c r="D1" s="52" t="s">
        <v>35</v>
      </c>
    </row>
    <row r="2" spans="1:4" x14ac:dyDescent="0.3">
      <c r="A2" s="53">
        <v>1</v>
      </c>
      <c r="B2" s="54" t="s">
        <v>92</v>
      </c>
      <c r="C2" s="54" t="s">
        <v>62</v>
      </c>
      <c r="D2" s="54" t="s">
        <v>94</v>
      </c>
    </row>
    <row r="3" spans="1:4" x14ac:dyDescent="0.3">
      <c r="A3" s="53">
        <v>2</v>
      </c>
      <c r="B3" s="54" t="s">
        <v>93</v>
      </c>
      <c r="C3" s="54" t="s">
        <v>58</v>
      </c>
      <c r="D3" s="54" t="s">
        <v>95</v>
      </c>
    </row>
    <row r="4" spans="1:4" x14ac:dyDescent="0.3">
      <c r="A4" s="53">
        <v>3</v>
      </c>
      <c r="B4" s="55" t="s">
        <v>17</v>
      </c>
      <c r="C4" s="55" t="s">
        <v>30</v>
      </c>
      <c r="D4" s="55" t="s">
        <v>56</v>
      </c>
    </row>
    <row r="5" spans="1:4" x14ac:dyDescent="0.3">
      <c r="A5" s="53">
        <v>4</v>
      </c>
      <c r="B5" s="56" t="s">
        <v>19</v>
      </c>
      <c r="C5" s="56" t="s">
        <v>31</v>
      </c>
      <c r="D5" s="56" t="s">
        <v>56</v>
      </c>
    </row>
    <row r="6" spans="1:4" x14ac:dyDescent="0.3">
      <c r="A6" s="53">
        <v>5</v>
      </c>
      <c r="B6" s="55" t="s">
        <v>20</v>
      </c>
      <c r="C6" s="55" t="s">
        <v>31</v>
      </c>
      <c r="D6" s="55" t="s">
        <v>36</v>
      </c>
    </row>
    <row r="7" spans="1:4" x14ac:dyDescent="0.3">
      <c r="A7" s="53">
        <v>6</v>
      </c>
      <c r="B7" s="55" t="s">
        <v>21</v>
      </c>
      <c r="C7" s="55" t="s">
        <v>31</v>
      </c>
      <c r="D7" s="55" t="s">
        <v>55</v>
      </c>
    </row>
    <row r="8" spans="1:4" x14ac:dyDescent="0.3">
      <c r="A8" s="53">
        <v>7</v>
      </c>
      <c r="B8" s="55" t="s">
        <v>22</v>
      </c>
      <c r="C8" s="55" t="s">
        <v>31</v>
      </c>
      <c r="D8" s="55" t="s">
        <v>60</v>
      </c>
    </row>
    <row r="9" spans="1:4" x14ac:dyDescent="0.3">
      <c r="A9" s="53">
        <v>8</v>
      </c>
      <c r="B9" s="55" t="s">
        <v>23</v>
      </c>
      <c r="C9" s="55" t="s">
        <v>31</v>
      </c>
      <c r="D9" s="55" t="s">
        <v>37</v>
      </c>
    </row>
    <row r="10" spans="1:4" x14ac:dyDescent="0.3">
      <c r="A10" s="53">
        <v>9</v>
      </c>
      <c r="B10" s="56" t="s">
        <v>24</v>
      </c>
      <c r="C10" s="56" t="s">
        <v>31</v>
      </c>
      <c r="D10" s="56" t="s">
        <v>40</v>
      </c>
    </row>
    <row r="11" spans="1:4" x14ac:dyDescent="0.3">
      <c r="A11" s="53">
        <v>10</v>
      </c>
      <c r="B11" s="55" t="s">
        <v>38</v>
      </c>
      <c r="C11" s="55" t="s">
        <v>31</v>
      </c>
      <c r="D11" s="55" t="s">
        <v>39</v>
      </c>
    </row>
    <row r="12" spans="1:4" x14ac:dyDescent="0.3">
      <c r="A12" s="53">
        <v>11</v>
      </c>
      <c r="B12" s="55" t="s">
        <v>25</v>
      </c>
      <c r="C12" s="55" t="s">
        <v>31</v>
      </c>
      <c r="D12" s="55" t="s">
        <v>40</v>
      </c>
    </row>
    <row r="13" spans="1:4" x14ac:dyDescent="0.3">
      <c r="A13" s="53">
        <v>12</v>
      </c>
      <c r="B13" s="56" t="s">
        <v>26</v>
      </c>
      <c r="C13" s="56" t="s">
        <v>31</v>
      </c>
      <c r="D13" s="56" t="s">
        <v>41</v>
      </c>
    </row>
    <row r="14" spans="1:4" x14ac:dyDescent="0.3">
      <c r="A14" s="53">
        <v>13</v>
      </c>
      <c r="B14" s="55" t="s">
        <v>61</v>
      </c>
      <c r="C14" s="55" t="s">
        <v>62</v>
      </c>
      <c r="D14" s="55" t="s">
        <v>40</v>
      </c>
    </row>
    <row r="15" spans="1:4" x14ac:dyDescent="0.3">
      <c r="A15" s="53">
        <v>14</v>
      </c>
      <c r="B15" s="55" t="s">
        <v>57</v>
      </c>
      <c r="C15" s="55" t="s">
        <v>58</v>
      </c>
      <c r="D15" s="55" t="s">
        <v>63</v>
      </c>
    </row>
    <row r="16" spans="1:4" x14ac:dyDescent="0.3">
      <c r="A16" s="53">
        <v>15</v>
      </c>
      <c r="B16" s="56" t="s">
        <v>32</v>
      </c>
      <c r="C16" s="56" t="s">
        <v>34</v>
      </c>
      <c r="D16" s="56" t="s">
        <v>64</v>
      </c>
    </row>
    <row r="17" spans="1:4" x14ac:dyDescent="0.3">
      <c r="A17" s="53">
        <v>16</v>
      </c>
      <c r="B17" s="55" t="s">
        <v>33</v>
      </c>
      <c r="C17" s="55" t="s">
        <v>34</v>
      </c>
      <c r="D17" s="55" t="s">
        <v>40</v>
      </c>
    </row>
    <row r="18" spans="1:4" x14ac:dyDescent="0.3">
      <c r="A18" s="53">
        <v>17</v>
      </c>
      <c r="B18" s="55" t="s">
        <v>42</v>
      </c>
      <c r="C18" s="55" t="s">
        <v>30</v>
      </c>
      <c r="D18" s="55" t="s">
        <v>43</v>
      </c>
    </row>
    <row r="19" spans="1:4" x14ac:dyDescent="0.3">
      <c r="A19" s="53">
        <v>18</v>
      </c>
      <c r="B19" s="54" t="s">
        <v>28</v>
      </c>
      <c r="C19" s="54" t="s">
        <v>31</v>
      </c>
      <c r="D19" s="54" t="s">
        <v>44</v>
      </c>
    </row>
    <row r="20" spans="1:4" x14ac:dyDescent="0.3">
      <c r="A20" s="53">
        <v>19</v>
      </c>
      <c r="B20" s="54" t="s">
        <v>65</v>
      </c>
      <c r="C20" s="54" t="s">
        <v>34</v>
      </c>
      <c r="D20" s="54" t="s">
        <v>66</v>
      </c>
    </row>
    <row r="21" spans="1:4" x14ac:dyDescent="0.3">
      <c r="A21" s="53">
        <v>20</v>
      </c>
      <c r="B21" s="55" t="s">
        <v>45</v>
      </c>
      <c r="C21" s="55" t="s">
        <v>30</v>
      </c>
      <c r="D21" s="55" t="s">
        <v>46</v>
      </c>
    </row>
    <row r="22" spans="1:4" x14ac:dyDescent="0.3">
      <c r="A22" s="53">
        <v>21</v>
      </c>
      <c r="B22" s="55" t="s">
        <v>47</v>
      </c>
      <c r="C22" s="55" t="s">
        <v>30</v>
      </c>
      <c r="D22" s="55" t="s">
        <v>59</v>
      </c>
    </row>
    <row r="23" spans="1:4" ht="40" x14ac:dyDescent="0.3">
      <c r="A23" s="53">
        <v>22</v>
      </c>
      <c r="B23" s="56" t="s">
        <v>48</v>
      </c>
      <c r="C23" s="56" t="s">
        <v>34</v>
      </c>
      <c r="D23" s="57" t="s">
        <v>96</v>
      </c>
    </row>
    <row r="24" spans="1:4" x14ac:dyDescent="0.3">
      <c r="A24" s="53">
        <v>23</v>
      </c>
      <c r="B24" s="55" t="s">
        <v>49</v>
      </c>
      <c r="C24" s="55" t="s">
        <v>30</v>
      </c>
      <c r="D24" s="55" t="s">
        <v>50</v>
      </c>
    </row>
    <row r="25" spans="1:4" x14ac:dyDescent="0.3">
      <c r="A25" s="53">
        <v>24</v>
      </c>
      <c r="B25" s="55" t="s">
        <v>51</v>
      </c>
      <c r="C25" s="55" t="s">
        <v>30</v>
      </c>
      <c r="D25" s="55" t="s">
        <v>53</v>
      </c>
    </row>
    <row r="26" spans="1:4" x14ac:dyDescent="0.3">
      <c r="A26" s="53">
        <v>25</v>
      </c>
      <c r="B26" s="55" t="s">
        <v>52</v>
      </c>
      <c r="C26" s="55" t="s">
        <v>30</v>
      </c>
      <c r="D26" s="55" t="s">
        <v>54</v>
      </c>
    </row>
  </sheetData>
  <autoFilter ref="C1:C26" xr:uid="{D48F2648-DB6D-DE49-9341-492DA7962CAE}"/>
  <pageMargins left="0.7" right="0.7" top="0.75" bottom="0.75" header="0.3" footer="0.3"/>
  <pageSetup paperSize="9" scale="57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33F72-040F-8342-8930-F80F28DDC57F}">
  <dimension ref="A1:P32"/>
  <sheetViews>
    <sheetView topLeftCell="A3" zoomScaleNormal="100" zoomScaleSheetLayoutView="150" workbookViewId="0">
      <selection activeCell="A4" sqref="A4:G24"/>
    </sheetView>
  </sheetViews>
  <sheetFormatPr baseColWidth="10" defaultRowHeight="24" x14ac:dyDescent="0.3"/>
  <cols>
    <col min="1" max="1" width="12.83203125" style="1" bestFit="1" customWidth="1"/>
    <col min="2" max="2" width="20.1640625" style="1" hidden="1" customWidth="1"/>
    <col min="3" max="3" width="14.1640625" style="1" hidden="1" customWidth="1"/>
    <col min="4" max="4" width="13.1640625" style="1" hidden="1" customWidth="1"/>
    <col min="5" max="5" width="21.1640625" style="1" hidden="1" customWidth="1"/>
    <col min="6" max="6" width="13.5" style="17" hidden="1" customWidth="1"/>
    <col min="7" max="7" width="22.6640625" style="1" bestFit="1" customWidth="1"/>
    <col min="8" max="8" width="15.6640625" style="1" customWidth="1"/>
    <col min="9" max="9" width="19.5" style="1" customWidth="1"/>
    <col min="10" max="10" width="17.33203125" style="1" bestFit="1" customWidth="1"/>
    <col min="11" max="11" width="10.83203125" style="1"/>
    <col min="12" max="12" width="12.83203125" style="1" bestFit="1" customWidth="1"/>
    <col min="13" max="13" width="19" style="1" bestFit="1" customWidth="1"/>
    <col min="14" max="16384" width="10.83203125" style="1"/>
  </cols>
  <sheetData>
    <row r="1" spans="1:16" x14ac:dyDescent="0.3">
      <c r="A1" s="75" t="s">
        <v>68</v>
      </c>
      <c r="B1" s="76"/>
      <c r="C1" s="76"/>
      <c r="D1" s="76"/>
      <c r="E1" s="76"/>
      <c r="F1" s="77"/>
      <c r="G1" s="3"/>
      <c r="H1" s="3"/>
      <c r="I1" s="3"/>
      <c r="J1" s="3"/>
      <c r="K1" s="5"/>
      <c r="L1" s="74"/>
      <c r="M1" s="74"/>
      <c r="N1" s="74"/>
      <c r="O1" s="74"/>
      <c r="P1" s="74"/>
    </row>
    <row r="2" spans="1:16" x14ac:dyDescent="0.3">
      <c r="A2" s="75" t="s">
        <v>67</v>
      </c>
      <c r="B2" s="76"/>
      <c r="C2" s="76"/>
      <c r="D2" s="76"/>
      <c r="E2" s="76"/>
      <c r="F2" s="77"/>
      <c r="G2" s="4"/>
      <c r="H2" s="4"/>
      <c r="I2" s="4"/>
      <c r="J2" s="4"/>
      <c r="K2" s="5"/>
      <c r="L2" s="4"/>
      <c r="M2" s="4"/>
      <c r="N2" s="4"/>
      <c r="O2" s="4"/>
      <c r="P2" s="4"/>
    </row>
    <row r="3" spans="1:16" x14ac:dyDescent="0.3">
      <c r="A3" s="6" t="s">
        <v>0</v>
      </c>
      <c r="B3" s="6" t="s">
        <v>2</v>
      </c>
      <c r="C3" s="6" t="s">
        <v>71</v>
      </c>
      <c r="D3" s="6" t="s">
        <v>1</v>
      </c>
      <c r="E3" s="6" t="s">
        <v>72</v>
      </c>
      <c r="F3" s="18" t="s">
        <v>79</v>
      </c>
      <c r="G3" s="58" t="s">
        <v>99</v>
      </c>
      <c r="H3" s="58"/>
      <c r="I3" s="58"/>
      <c r="J3" s="58"/>
      <c r="K3" s="59"/>
      <c r="L3" s="3"/>
      <c r="M3" s="3"/>
      <c r="N3" s="3"/>
      <c r="O3" s="3"/>
      <c r="P3" s="3"/>
    </row>
    <row r="4" spans="1:16" x14ac:dyDescent="0.3">
      <c r="A4" s="2" t="s">
        <v>70</v>
      </c>
      <c r="B4" s="10">
        <v>1023.95</v>
      </c>
      <c r="C4" s="10">
        <v>1002.85</v>
      </c>
      <c r="D4" s="10">
        <v>1027.25</v>
      </c>
      <c r="E4" s="10">
        <v>997.4</v>
      </c>
      <c r="F4" s="19">
        <f>(B4-C4)/C4</f>
        <v>2.10400358976916E-2</v>
      </c>
      <c r="G4" s="59">
        <f>10*B4</f>
        <v>10239.5</v>
      </c>
      <c r="H4" s="59"/>
      <c r="I4" s="59"/>
      <c r="J4" s="59"/>
      <c r="K4" s="59"/>
      <c r="L4" s="5"/>
      <c r="M4" s="5"/>
      <c r="N4" s="5"/>
      <c r="O4" s="5"/>
      <c r="P4" s="5"/>
    </row>
    <row r="5" spans="1:16" x14ac:dyDescent="0.3">
      <c r="A5" s="2" t="s">
        <v>3</v>
      </c>
      <c r="B5" s="10">
        <v>1033.1500000000001</v>
      </c>
      <c r="C5" s="10">
        <v>1025</v>
      </c>
      <c r="D5" s="10">
        <v>1040.7</v>
      </c>
      <c r="E5" s="10">
        <v>1010</v>
      </c>
      <c r="F5" s="19">
        <f t="shared" ref="F5:F13" si="0">(B5-C5)/C5</f>
        <v>7.9512195121952105E-3</v>
      </c>
      <c r="G5" s="59">
        <f t="shared" ref="G5:G24" si="1">10*B5</f>
        <v>10331.5</v>
      </c>
      <c r="H5" s="59"/>
      <c r="I5" s="59"/>
      <c r="J5" s="59"/>
      <c r="K5" s="59"/>
      <c r="L5" s="5"/>
      <c r="M5" s="5"/>
      <c r="N5" s="5"/>
      <c r="O5" s="5"/>
      <c r="P5" s="5"/>
    </row>
    <row r="6" spans="1:16" x14ac:dyDescent="0.3">
      <c r="A6" s="2" t="s">
        <v>4</v>
      </c>
      <c r="B6" s="10">
        <v>1011.25</v>
      </c>
      <c r="C6" s="10">
        <v>1033.1500000000001</v>
      </c>
      <c r="D6" s="10">
        <v>1040</v>
      </c>
      <c r="E6" s="10">
        <v>1008.1</v>
      </c>
      <c r="F6" s="16">
        <f>(B6-C6)/C6</f>
        <v>-2.1197309200019443E-2</v>
      </c>
      <c r="G6" s="59">
        <f t="shared" si="1"/>
        <v>10112.5</v>
      </c>
      <c r="H6" s="59"/>
      <c r="I6" s="59"/>
      <c r="J6" s="59"/>
      <c r="K6" s="59"/>
      <c r="L6" s="5"/>
      <c r="M6" s="5"/>
      <c r="N6" s="5"/>
      <c r="O6" s="5"/>
      <c r="P6" s="5"/>
    </row>
    <row r="7" spans="1:16" x14ac:dyDescent="0.3">
      <c r="A7" s="2" t="s">
        <v>5</v>
      </c>
      <c r="B7" s="10">
        <v>1002.4</v>
      </c>
      <c r="C7" s="10">
        <v>1013.95</v>
      </c>
      <c r="D7" s="10">
        <v>1017.6</v>
      </c>
      <c r="E7" s="10">
        <v>986.4</v>
      </c>
      <c r="F7" s="16">
        <f t="shared" si="0"/>
        <v>-1.1391094235416014E-2</v>
      </c>
      <c r="G7" s="59">
        <f t="shared" si="1"/>
        <v>10024</v>
      </c>
      <c r="H7" s="59"/>
      <c r="I7" s="59"/>
      <c r="J7" s="59"/>
      <c r="K7" s="59"/>
      <c r="L7" s="5"/>
      <c r="M7" s="5"/>
      <c r="N7" s="5"/>
      <c r="O7" s="5"/>
      <c r="P7" s="5"/>
    </row>
    <row r="8" spans="1:16" x14ac:dyDescent="0.3">
      <c r="A8" s="2" t="s">
        <v>6</v>
      </c>
      <c r="B8" s="10">
        <v>1005.3</v>
      </c>
      <c r="C8" s="10">
        <v>1005</v>
      </c>
      <c r="D8" s="10">
        <v>1011.95</v>
      </c>
      <c r="E8" s="10">
        <v>985.2</v>
      </c>
      <c r="F8" s="19">
        <f t="shared" si="0"/>
        <v>2.985074626865219E-4</v>
      </c>
      <c r="G8" s="59">
        <f t="shared" si="1"/>
        <v>10053</v>
      </c>
      <c r="H8" s="59"/>
      <c r="I8" s="59"/>
      <c r="J8" s="59"/>
      <c r="K8" s="59"/>
      <c r="L8" s="5"/>
      <c r="M8" s="5"/>
      <c r="N8" s="5"/>
      <c r="O8" s="5"/>
      <c r="P8" s="5"/>
    </row>
    <row r="9" spans="1:16" x14ac:dyDescent="0.3">
      <c r="A9" s="2" t="s">
        <v>7</v>
      </c>
      <c r="B9" s="10">
        <v>1019.55</v>
      </c>
      <c r="C9" s="10">
        <v>1010</v>
      </c>
      <c r="D9" s="10">
        <v>1021.5</v>
      </c>
      <c r="E9" s="10">
        <v>999.8</v>
      </c>
      <c r="F9" s="19">
        <f t="shared" si="0"/>
        <v>9.4554455445544101E-3</v>
      </c>
      <c r="G9" s="59">
        <f t="shared" si="1"/>
        <v>10195.5</v>
      </c>
      <c r="H9" s="59"/>
      <c r="I9" s="59"/>
      <c r="J9" s="59"/>
      <c r="K9" s="59"/>
      <c r="L9" s="5"/>
      <c r="M9" s="5"/>
      <c r="N9" s="5"/>
      <c r="O9" s="5"/>
      <c r="P9" s="5"/>
    </row>
    <row r="10" spans="1:16" x14ac:dyDescent="0.3">
      <c r="A10" s="2" t="s">
        <v>8</v>
      </c>
      <c r="B10" s="10">
        <v>1034.45</v>
      </c>
      <c r="C10" s="10">
        <v>1047.9000000000001</v>
      </c>
      <c r="D10" s="10">
        <v>1053</v>
      </c>
      <c r="E10" s="10">
        <v>1023.1</v>
      </c>
      <c r="F10" s="16">
        <f t="shared" si="0"/>
        <v>-1.283519419791969E-2</v>
      </c>
      <c r="G10" s="59">
        <f t="shared" si="1"/>
        <v>10344.5</v>
      </c>
      <c r="H10" s="59"/>
      <c r="I10" s="59"/>
      <c r="J10" s="59"/>
      <c r="K10" s="59"/>
      <c r="L10" s="5"/>
      <c r="M10" s="5"/>
      <c r="N10" s="5"/>
      <c r="O10" s="5"/>
      <c r="P10" s="5"/>
    </row>
    <row r="11" spans="1:16" x14ac:dyDescent="0.3">
      <c r="A11" s="2" t="s">
        <v>9</v>
      </c>
      <c r="B11" s="10">
        <v>1025.3499999999999</v>
      </c>
      <c r="C11" s="10">
        <v>1034.5</v>
      </c>
      <c r="D11" s="10">
        <v>1043</v>
      </c>
      <c r="E11" s="10">
        <v>1021.7</v>
      </c>
      <c r="F11" s="16">
        <f t="shared" si="0"/>
        <v>-8.8448525857903245E-3</v>
      </c>
      <c r="G11" s="59">
        <f t="shared" si="1"/>
        <v>10253.5</v>
      </c>
      <c r="H11" s="59"/>
      <c r="I11" s="59"/>
      <c r="J11" s="59"/>
      <c r="K11" s="59"/>
      <c r="L11" s="5"/>
      <c r="M11" s="5"/>
      <c r="N11" s="5"/>
      <c r="O11" s="5"/>
      <c r="P11" s="5"/>
    </row>
    <row r="12" spans="1:16" x14ac:dyDescent="0.3">
      <c r="A12" s="2" t="s">
        <v>10</v>
      </c>
      <c r="B12" s="10">
        <v>1027.5999999999999</v>
      </c>
      <c r="C12" s="10">
        <v>1036.45</v>
      </c>
      <c r="D12" s="10">
        <v>1036.45</v>
      </c>
      <c r="E12" s="10">
        <v>1005.5</v>
      </c>
      <c r="F12" s="16">
        <f t="shared" si="0"/>
        <v>-8.5387621207005989E-3</v>
      </c>
      <c r="G12" s="59">
        <f t="shared" si="1"/>
        <v>10276</v>
      </c>
      <c r="H12" s="59"/>
      <c r="I12" s="59"/>
      <c r="J12" s="59"/>
      <c r="K12" s="59"/>
      <c r="L12" s="5"/>
      <c r="M12" s="5"/>
      <c r="N12" s="5"/>
      <c r="O12" s="5"/>
      <c r="P12" s="5"/>
    </row>
    <row r="13" spans="1:16" x14ac:dyDescent="0.3">
      <c r="A13" s="2" t="s">
        <v>11</v>
      </c>
      <c r="B13" s="10">
        <v>1036</v>
      </c>
      <c r="C13" s="10">
        <v>1031</v>
      </c>
      <c r="D13" s="10">
        <v>1042.5999999999999</v>
      </c>
      <c r="E13" s="10">
        <v>1000</v>
      </c>
      <c r="F13" s="19">
        <f t="shared" si="0"/>
        <v>4.849660523763337E-3</v>
      </c>
      <c r="G13" s="59">
        <f t="shared" si="1"/>
        <v>10360</v>
      </c>
      <c r="H13" s="59"/>
      <c r="I13" s="59"/>
      <c r="J13" s="59"/>
      <c r="K13" s="59"/>
      <c r="L13" s="5"/>
      <c r="M13" s="5"/>
      <c r="N13" s="5"/>
      <c r="O13" s="5"/>
      <c r="P13" s="5"/>
    </row>
    <row r="14" spans="1:16" x14ac:dyDescent="0.3">
      <c r="A14" s="2" t="s">
        <v>12</v>
      </c>
      <c r="B14" s="10">
        <v>1120.1500000000001</v>
      </c>
      <c r="C14" s="10">
        <v>1025</v>
      </c>
      <c r="D14" s="10">
        <v>1124</v>
      </c>
      <c r="E14" s="10">
        <v>1025</v>
      </c>
      <c r="F14" s="19">
        <f t="shared" ref="F14:F18" si="2">(B14-C14)/C14</f>
        <v>9.2829268292683009E-2</v>
      </c>
      <c r="G14" s="59">
        <f t="shared" si="1"/>
        <v>11201.5</v>
      </c>
      <c r="H14" s="59"/>
      <c r="I14" s="59"/>
      <c r="J14" s="59"/>
      <c r="K14" s="59"/>
      <c r="L14" s="5"/>
      <c r="M14" s="5"/>
      <c r="N14" s="5"/>
      <c r="O14" s="5"/>
      <c r="P14" s="5"/>
    </row>
    <row r="15" spans="1:16" x14ac:dyDescent="0.3">
      <c r="A15" s="2" t="s">
        <v>13</v>
      </c>
      <c r="B15" s="10">
        <v>1160.05</v>
      </c>
      <c r="C15" s="10">
        <v>1110</v>
      </c>
      <c r="D15" s="10">
        <v>1176.5999999999999</v>
      </c>
      <c r="E15" s="10">
        <v>1110</v>
      </c>
      <c r="F15" s="19">
        <f t="shared" si="2"/>
        <v>4.5090090090090046E-2</v>
      </c>
      <c r="G15" s="59">
        <f t="shared" si="1"/>
        <v>11600.5</v>
      </c>
      <c r="H15" s="59"/>
      <c r="I15" s="59"/>
      <c r="J15" s="59"/>
      <c r="K15" s="59"/>
      <c r="L15" s="5"/>
      <c r="M15" s="5"/>
      <c r="N15" s="5"/>
      <c r="O15" s="5"/>
      <c r="P15" s="5"/>
    </row>
    <row r="16" spans="1:16" x14ac:dyDescent="0.3">
      <c r="A16" s="2" t="s">
        <v>14</v>
      </c>
      <c r="B16" s="10">
        <v>1178.2</v>
      </c>
      <c r="C16" s="10">
        <v>1153.5999999999999</v>
      </c>
      <c r="D16" s="10">
        <v>1182.75</v>
      </c>
      <c r="E16" s="10">
        <v>1145.5</v>
      </c>
      <c r="F16" s="19">
        <f t="shared" si="2"/>
        <v>2.1324549237170715E-2</v>
      </c>
      <c r="G16" s="59">
        <f t="shared" si="1"/>
        <v>11782</v>
      </c>
      <c r="H16" s="59"/>
      <c r="I16" s="59"/>
      <c r="J16" s="59"/>
      <c r="K16" s="59"/>
      <c r="L16" s="5"/>
      <c r="M16" s="5"/>
      <c r="N16" s="5"/>
      <c r="O16" s="5"/>
      <c r="P16" s="5"/>
    </row>
    <row r="17" spans="1:16" x14ac:dyDescent="0.3">
      <c r="A17" s="2" t="s">
        <v>15</v>
      </c>
      <c r="B17" s="10">
        <v>1156</v>
      </c>
      <c r="C17" s="10">
        <v>1176.1500000000001</v>
      </c>
      <c r="D17" s="10">
        <v>1179.95</v>
      </c>
      <c r="E17" s="10">
        <v>1146</v>
      </c>
      <c r="F17" s="16">
        <f t="shared" si="2"/>
        <v>-1.7132168515920664E-2</v>
      </c>
      <c r="G17" s="59">
        <f t="shared" si="1"/>
        <v>11560</v>
      </c>
      <c r="H17" s="59"/>
      <c r="I17" s="59"/>
      <c r="J17" s="59"/>
      <c r="K17" s="59"/>
      <c r="L17" s="5"/>
      <c r="M17" s="5"/>
      <c r="N17" s="5"/>
      <c r="O17" s="5"/>
      <c r="P17" s="5"/>
    </row>
    <row r="18" spans="1:16" x14ac:dyDescent="0.3">
      <c r="A18" s="2" t="s">
        <v>16</v>
      </c>
      <c r="B18" s="10">
        <v>1168</v>
      </c>
      <c r="C18" s="10">
        <v>1156.2</v>
      </c>
      <c r="D18" s="10">
        <v>1187</v>
      </c>
      <c r="E18" s="10">
        <v>1152</v>
      </c>
      <c r="F18" s="19">
        <f t="shared" si="2"/>
        <v>1.0205846739318417E-2</v>
      </c>
      <c r="G18" s="59">
        <f t="shared" si="1"/>
        <v>11680</v>
      </c>
      <c r="H18" s="59"/>
      <c r="I18" s="59"/>
      <c r="J18" s="59"/>
      <c r="K18" s="59"/>
      <c r="L18" s="5"/>
      <c r="M18" s="5"/>
      <c r="N18" s="5"/>
      <c r="O18" s="5"/>
      <c r="P18" s="5"/>
    </row>
    <row r="19" spans="1:16" x14ac:dyDescent="0.3">
      <c r="A19" s="2" t="s">
        <v>73</v>
      </c>
      <c r="B19" s="10">
        <v>1182.0999999999999</v>
      </c>
      <c r="C19" s="10">
        <v>1181.7</v>
      </c>
      <c r="D19" s="10">
        <v>1203.25</v>
      </c>
      <c r="E19" s="10">
        <v>1160.25</v>
      </c>
      <c r="F19" s="19">
        <f>(B19-C19)/C19</f>
        <v>3.3849538800022306E-4</v>
      </c>
      <c r="G19" s="59">
        <f t="shared" si="1"/>
        <v>11821</v>
      </c>
      <c r="H19" s="2"/>
      <c r="I19" s="2"/>
      <c r="J19" s="2"/>
      <c r="K19" s="2"/>
    </row>
    <row r="20" spans="1:16" x14ac:dyDescent="0.3">
      <c r="A20" s="2" t="s">
        <v>74</v>
      </c>
      <c r="B20" s="10">
        <v>1126.2</v>
      </c>
      <c r="C20" s="10">
        <v>1182</v>
      </c>
      <c r="D20" s="10">
        <v>1184</v>
      </c>
      <c r="E20" s="10">
        <v>1040</v>
      </c>
      <c r="F20" s="16">
        <f t="shared" ref="F20:F23" si="3">(B20-C20)/C20</f>
        <v>-4.7208121827411131E-2</v>
      </c>
      <c r="G20" s="59">
        <f t="shared" si="1"/>
        <v>11262</v>
      </c>
      <c r="H20" s="2"/>
      <c r="I20" s="2"/>
      <c r="J20" s="2"/>
      <c r="K20" s="2"/>
    </row>
    <row r="21" spans="1:16" x14ac:dyDescent="0.3">
      <c r="A21" s="2" t="s">
        <v>75</v>
      </c>
      <c r="B21" s="10">
        <v>1187.6500000000001</v>
      </c>
      <c r="C21" s="10">
        <v>1127</v>
      </c>
      <c r="D21" s="10">
        <v>1206.5</v>
      </c>
      <c r="E21" s="10">
        <v>1108.55</v>
      </c>
      <c r="F21" s="19">
        <f t="shared" si="3"/>
        <v>5.3815439219166011E-2</v>
      </c>
      <c r="G21" s="59">
        <f t="shared" si="1"/>
        <v>11876.5</v>
      </c>
      <c r="H21" s="2"/>
      <c r="I21" s="2"/>
      <c r="J21" s="2"/>
      <c r="K21" s="2"/>
    </row>
    <row r="22" spans="1:16" x14ac:dyDescent="0.3">
      <c r="A22" s="2" t="s">
        <v>76</v>
      </c>
      <c r="B22" s="10">
        <v>1213.95</v>
      </c>
      <c r="C22" s="10">
        <v>1181.2</v>
      </c>
      <c r="D22" s="10">
        <v>1223</v>
      </c>
      <c r="E22" s="10">
        <v>1167.55</v>
      </c>
      <c r="F22" s="19">
        <f t="shared" si="3"/>
        <v>2.7726041313918048E-2</v>
      </c>
      <c r="G22" s="59">
        <f t="shared" si="1"/>
        <v>12139.5</v>
      </c>
      <c r="H22" s="2"/>
      <c r="I22" s="2"/>
      <c r="J22" s="2"/>
      <c r="K22" s="2"/>
    </row>
    <row r="23" spans="1:16" x14ac:dyDescent="0.3">
      <c r="A23" s="2" t="s">
        <v>77</v>
      </c>
      <c r="B23" s="10">
        <v>1198.4000000000001</v>
      </c>
      <c r="C23" s="10">
        <v>1220</v>
      </c>
      <c r="D23" s="10">
        <v>1222.55</v>
      </c>
      <c r="E23" s="10">
        <v>1191.45</v>
      </c>
      <c r="F23" s="16">
        <f t="shared" si="3"/>
        <v>-1.7704918032786812E-2</v>
      </c>
      <c r="G23" s="59">
        <f t="shared" si="1"/>
        <v>11984</v>
      </c>
      <c r="H23" s="2"/>
      <c r="I23" s="2"/>
      <c r="J23" s="2"/>
      <c r="K23" s="2"/>
    </row>
    <row r="24" spans="1:16" x14ac:dyDescent="0.3">
      <c r="A24" s="2" t="s">
        <v>78</v>
      </c>
      <c r="B24" s="10">
        <v>1208.1500000000001</v>
      </c>
      <c r="C24" s="10">
        <v>1192.8</v>
      </c>
      <c r="D24" s="10">
        <v>1215.9000000000001</v>
      </c>
      <c r="E24" s="10">
        <v>1188.05</v>
      </c>
      <c r="F24" s="19">
        <f t="shared" ref="F24" si="4">(B24-C24)/C24</f>
        <v>1.2868879946344849E-2</v>
      </c>
      <c r="G24" s="59">
        <f t="shared" si="1"/>
        <v>12081.5</v>
      </c>
      <c r="H24" s="2"/>
      <c r="I24" s="2"/>
      <c r="J24" s="2"/>
      <c r="K24" s="2"/>
    </row>
    <row r="25" spans="1:16" ht="25" thickBot="1" x14ac:dyDescent="0.35">
      <c r="G25" s="2"/>
      <c r="H25" s="2"/>
      <c r="I25" s="2"/>
      <c r="J25" s="2"/>
      <c r="K25" s="2"/>
    </row>
    <row r="26" spans="1:16" x14ac:dyDescent="0.3">
      <c r="A26" s="73" t="s">
        <v>83</v>
      </c>
      <c r="B26" s="73"/>
      <c r="C26" s="10">
        <f>B4</f>
        <v>1023.95</v>
      </c>
      <c r="D26" s="22"/>
      <c r="G26" s="2"/>
      <c r="H26" s="2"/>
      <c r="I26" s="2"/>
      <c r="J26" s="2"/>
      <c r="K26" s="2"/>
    </row>
    <row r="27" spans="1:16" x14ac:dyDescent="0.3">
      <c r="A27" s="73" t="s">
        <v>82</v>
      </c>
      <c r="B27" s="73"/>
      <c r="C27" s="10">
        <f>B24</f>
        <v>1208.1500000000001</v>
      </c>
      <c r="D27" s="24"/>
      <c r="G27" s="2"/>
      <c r="H27" s="2"/>
      <c r="I27" s="2"/>
      <c r="J27" s="2"/>
      <c r="K27" s="2"/>
    </row>
    <row r="28" spans="1:16" x14ac:dyDescent="0.3">
      <c r="A28" s="73" t="s">
        <v>84</v>
      </c>
      <c r="B28" s="73"/>
      <c r="C28" s="2">
        <v>10</v>
      </c>
      <c r="D28" s="24"/>
      <c r="G28" s="2"/>
      <c r="H28" s="2"/>
      <c r="I28" s="2"/>
      <c r="J28" s="2"/>
      <c r="K28" s="2"/>
    </row>
    <row r="29" spans="1:16" ht="95" customHeight="1" x14ac:dyDescent="0.3">
      <c r="A29" s="72" t="s">
        <v>97</v>
      </c>
      <c r="B29" s="72"/>
      <c r="C29" s="2">
        <f>C28*C26</f>
        <v>10239.5</v>
      </c>
      <c r="G29" s="2"/>
      <c r="H29" s="2"/>
      <c r="I29" s="2"/>
      <c r="J29" s="2"/>
      <c r="K29" s="2"/>
    </row>
    <row r="30" spans="1:16" ht="79" customHeight="1" x14ac:dyDescent="0.3">
      <c r="A30" s="72" t="s">
        <v>98</v>
      </c>
      <c r="B30" s="72"/>
      <c r="C30" s="2">
        <f>C28*C27</f>
        <v>12081.5</v>
      </c>
    </row>
    <row r="31" spans="1:16" x14ac:dyDescent="0.3">
      <c r="A31" s="2" t="s">
        <v>87</v>
      </c>
      <c r="B31" s="2"/>
      <c r="C31" s="46">
        <f>C30-C29</f>
        <v>1842</v>
      </c>
    </row>
    <row r="32" spans="1:16" x14ac:dyDescent="0.3">
      <c r="C32" s="1">
        <f>C31/C29*100</f>
        <v>17.98915962693491</v>
      </c>
    </row>
  </sheetData>
  <mergeCells count="8">
    <mergeCell ref="A30:B30"/>
    <mergeCell ref="A27:B27"/>
    <mergeCell ref="A28:B28"/>
    <mergeCell ref="L1:P1"/>
    <mergeCell ref="A1:F1"/>
    <mergeCell ref="A2:F2"/>
    <mergeCell ref="A26:B26"/>
    <mergeCell ref="A29:B29"/>
  </mergeCells>
  <pageMargins left="0.7" right="0.7" top="0.75" bottom="0.75" header="0.3" footer="0.3"/>
  <pageSetup paperSize="9" scale="77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5247B-C2C7-564E-8DF6-262592D59ACD}">
  <dimension ref="A1:M33"/>
  <sheetViews>
    <sheetView topLeftCell="A15" zoomScaleNormal="100" zoomScaleSheetLayoutView="150" workbookViewId="0">
      <selection activeCell="D34" sqref="D34"/>
    </sheetView>
  </sheetViews>
  <sheetFormatPr baseColWidth="10" defaultRowHeight="16" x14ac:dyDescent="0.2"/>
  <cols>
    <col min="1" max="1" width="12.83203125" style="30" bestFit="1" customWidth="1"/>
    <col min="2" max="2" width="20.1640625" style="31" customWidth="1"/>
    <col min="3" max="3" width="14.1640625" style="31" customWidth="1"/>
    <col min="4" max="4" width="13.1640625" style="30" customWidth="1"/>
    <col min="5" max="5" width="21.1640625" style="30" customWidth="1"/>
    <col min="6" max="6" width="16.83203125" style="32" customWidth="1"/>
    <col min="7" max="7" width="19.5" style="30" bestFit="1" customWidth="1"/>
    <col min="8" max="8" width="12.83203125" style="30" bestFit="1" customWidth="1"/>
    <col min="9" max="9" width="19" style="30" bestFit="1" customWidth="1"/>
    <col min="10" max="16384" width="10.83203125" style="30"/>
  </cols>
  <sheetData>
    <row r="1" spans="1:13" ht="22" x14ac:dyDescent="0.3">
      <c r="A1" s="85" t="s">
        <v>91</v>
      </c>
      <c r="B1" s="85"/>
      <c r="C1" s="85"/>
      <c r="D1" s="85"/>
      <c r="E1" s="85"/>
      <c r="F1" s="86"/>
      <c r="G1" s="62"/>
      <c r="H1" s="84"/>
      <c r="I1" s="84"/>
      <c r="J1" s="84"/>
      <c r="K1" s="84"/>
      <c r="L1" s="84"/>
      <c r="M1" s="64"/>
    </row>
    <row r="2" spans="1:13" ht="22" x14ac:dyDescent="0.3">
      <c r="A2" s="87" t="s">
        <v>67</v>
      </c>
      <c r="B2" s="88"/>
      <c r="C2" s="88"/>
      <c r="D2" s="88"/>
      <c r="E2" s="88"/>
      <c r="F2" s="88"/>
      <c r="G2" s="62"/>
      <c r="H2" s="63"/>
      <c r="I2" s="63"/>
      <c r="J2" s="63"/>
      <c r="K2" s="63"/>
      <c r="L2" s="63"/>
      <c r="M2" s="64"/>
    </row>
    <row r="3" spans="1:13" ht="22" x14ac:dyDescent="0.3">
      <c r="A3" s="38" t="s">
        <v>0</v>
      </c>
      <c r="B3" s="39" t="s">
        <v>2</v>
      </c>
      <c r="C3" s="39" t="s">
        <v>71</v>
      </c>
      <c r="D3" s="38" t="s">
        <v>1</v>
      </c>
      <c r="E3" s="40" t="s">
        <v>72</v>
      </c>
      <c r="F3" s="41" t="s">
        <v>79</v>
      </c>
      <c r="G3" s="39" t="s">
        <v>99</v>
      </c>
      <c r="H3" s="65"/>
      <c r="I3" s="65"/>
      <c r="J3" s="65"/>
      <c r="K3" s="65"/>
      <c r="L3" s="65"/>
      <c r="M3" s="64"/>
    </row>
    <row r="4" spans="1:13" ht="22" x14ac:dyDescent="0.3">
      <c r="A4" s="42" t="s">
        <v>70</v>
      </c>
      <c r="B4" s="43">
        <v>1869</v>
      </c>
      <c r="C4" s="43">
        <v>1755</v>
      </c>
      <c r="D4" s="44">
        <v>1755</v>
      </c>
      <c r="E4" s="45">
        <v>1707</v>
      </c>
      <c r="F4" s="60">
        <f>(B4-C4)/C4</f>
        <v>6.4957264957264962E-2</v>
      </c>
      <c r="G4" s="43">
        <f>5*B4</f>
        <v>9345</v>
      </c>
      <c r="H4" s="65"/>
      <c r="I4" s="65"/>
      <c r="J4" s="65"/>
      <c r="K4" s="65"/>
      <c r="L4" s="65"/>
      <c r="M4" s="64"/>
    </row>
    <row r="5" spans="1:13" ht="22" x14ac:dyDescent="0.3">
      <c r="A5" s="42" t="s">
        <v>3</v>
      </c>
      <c r="B5" s="43">
        <v>1701</v>
      </c>
      <c r="C5" s="43">
        <v>1729.9499510000001</v>
      </c>
      <c r="D5" s="43">
        <v>1729.9499510000001</v>
      </c>
      <c r="E5" s="43">
        <v>1676</v>
      </c>
      <c r="F5" s="61">
        <f>(B5-C5)/C5</f>
        <v>-1.6734559854327286E-2</v>
      </c>
      <c r="G5" s="43">
        <f t="shared" ref="G5:G24" si="0">5*B5</f>
        <v>8505</v>
      </c>
      <c r="H5" s="62"/>
      <c r="I5" s="62"/>
      <c r="J5" s="62"/>
      <c r="K5" s="62"/>
      <c r="L5" s="62"/>
      <c r="M5" s="64"/>
    </row>
    <row r="6" spans="1:13" ht="22" x14ac:dyDescent="0.3">
      <c r="A6" s="42" t="s">
        <v>4</v>
      </c>
      <c r="B6" s="43">
        <v>1695.150024</v>
      </c>
      <c r="C6" s="43">
        <v>1715</v>
      </c>
      <c r="D6" s="43">
        <v>1715</v>
      </c>
      <c r="E6" s="43">
        <v>1686.900024</v>
      </c>
      <c r="F6" s="61">
        <f t="shared" ref="F6:F9" si="1">(B6-C6)/C6</f>
        <v>-1.1574330029154501E-2</v>
      </c>
      <c r="G6" s="43">
        <f t="shared" si="0"/>
        <v>8475.7501200000006</v>
      </c>
      <c r="H6" s="62"/>
      <c r="I6" s="62"/>
      <c r="J6" s="62"/>
      <c r="K6" s="62"/>
      <c r="L6" s="62"/>
      <c r="M6" s="64"/>
    </row>
    <row r="7" spans="1:13" ht="22" x14ac:dyDescent="0.3">
      <c r="A7" s="42" t="s">
        <v>5</v>
      </c>
      <c r="B7" s="43">
        <v>1753.3000489999999</v>
      </c>
      <c r="C7" s="43">
        <v>1704.400024</v>
      </c>
      <c r="D7" s="43">
        <v>1766.849976</v>
      </c>
      <c r="E7" s="43">
        <v>1695.150024</v>
      </c>
      <c r="F7" s="60">
        <f t="shared" si="1"/>
        <v>2.8690462515506228E-2</v>
      </c>
      <c r="G7" s="43">
        <f t="shared" si="0"/>
        <v>8766.5002449999993</v>
      </c>
      <c r="H7" s="62"/>
      <c r="I7" s="62"/>
      <c r="J7" s="62"/>
      <c r="K7" s="62"/>
      <c r="L7" s="62"/>
      <c r="M7" s="64"/>
    </row>
    <row r="8" spans="1:13" ht="22" x14ac:dyDescent="0.3">
      <c r="A8" s="42" t="s">
        <v>6</v>
      </c>
      <c r="B8" s="43">
        <v>1764.349976</v>
      </c>
      <c r="C8" s="43">
        <v>1770.150024</v>
      </c>
      <c r="D8" s="43">
        <v>1799</v>
      </c>
      <c r="E8" s="43">
        <v>1746.0500489999999</v>
      </c>
      <c r="F8" s="61">
        <f t="shared" si="1"/>
        <v>-3.2765855556659081E-3</v>
      </c>
      <c r="G8" s="43">
        <f t="shared" si="0"/>
        <v>8821.7498799999994</v>
      </c>
      <c r="H8" s="62"/>
      <c r="I8" s="62"/>
      <c r="J8" s="62"/>
      <c r="K8" s="62"/>
      <c r="L8" s="62"/>
      <c r="M8" s="64"/>
    </row>
    <row r="9" spans="1:13" ht="22" x14ac:dyDescent="0.3">
      <c r="A9" s="42" t="s">
        <v>7</v>
      </c>
      <c r="B9" s="43">
        <v>1773.5</v>
      </c>
      <c r="C9" s="43">
        <v>1776</v>
      </c>
      <c r="D9" s="43">
        <v>1788.4499510000001</v>
      </c>
      <c r="E9" s="43">
        <v>1760.099976</v>
      </c>
      <c r="F9" s="61">
        <f t="shared" si="1"/>
        <v>-1.4076576576576576E-3</v>
      </c>
      <c r="G9" s="43">
        <f t="shared" si="0"/>
        <v>8867.5</v>
      </c>
      <c r="H9" s="62"/>
      <c r="I9" s="62"/>
      <c r="J9" s="62"/>
      <c r="K9" s="62"/>
      <c r="L9" s="62"/>
      <c r="M9" s="64"/>
    </row>
    <row r="10" spans="1:13" ht="22" x14ac:dyDescent="0.3">
      <c r="A10" s="42" t="s">
        <v>8</v>
      </c>
      <c r="B10" s="43">
        <v>1757.25</v>
      </c>
      <c r="C10" s="43">
        <v>1778</v>
      </c>
      <c r="D10" s="43">
        <v>1791.349976</v>
      </c>
      <c r="E10" s="43">
        <v>1754</v>
      </c>
      <c r="F10" s="61">
        <f t="shared" ref="F10:F13" si="2">(B10-C10)/C10</f>
        <v>-1.1670416197975254E-2</v>
      </c>
      <c r="G10" s="43">
        <f t="shared" si="0"/>
        <v>8786.25</v>
      </c>
      <c r="H10" s="62"/>
      <c r="I10" s="62"/>
      <c r="J10" s="62"/>
      <c r="K10" s="62"/>
      <c r="L10" s="62"/>
      <c r="M10" s="64"/>
    </row>
    <row r="11" spans="1:13" ht="22" x14ac:dyDescent="0.3">
      <c r="A11" s="42" t="s">
        <v>9</v>
      </c>
      <c r="B11" s="43">
        <v>1758.349976</v>
      </c>
      <c r="C11" s="43">
        <v>1760</v>
      </c>
      <c r="D11" s="43">
        <v>1770.9499510000001</v>
      </c>
      <c r="E11" s="43">
        <v>1737</v>
      </c>
      <c r="F11" s="61">
        <f t="shared" si="2"/>
        <v>-9.3751363636365357E-4</v>
      </c>
      <c r="G11" s="43">
        <f t="shared" si="0"/>
        <v>8791.7498799999994</v>
      </c>
      <c r="H11" s="62"/>
      <c r="I11" s="62"/>
      <c r="J11" s="62"/>
      <c r="K11" s="62"/>
      <c r="L11" s="62"/>
      <c r="M11" s="64"/>
    </row>
    <row r="12" spans="1:13" ht="22" x14ac:dyDescent="0.3">
      <c r="A12" s="42" t="s">
        <v>10</v>
      </c>
      <c r="B12" s="43">
        <v>1775.5500489999999</v>
      </c>
      <c r="C12" s="43">
        <v>1766.8000489999999</v>
      </c>
      <c r="D12" s="43">
        <v>1778.9499510000001</v>
      </c>
      <c r="E12" s="43">
        <v>1760.4499510000001</v>
      </c>
      <c r="F12" s="60">
        <f t="shared" si="2"/>
        <v>4.9524562810333043E-3</v>
      </c>
      <c r="G12" s="43">
        <f t="shared" si="0"/>
        <v>8877.7502449999993</v>
      </c>
      <c r="H12" s="62"/>
      <c r="I12" s="62"/>
      <c r="J12" s="62"/>
      <c r="K12" s="62"/>
      <c r="L12" s="62"/>
      <c r="M12" s="64"/>
    </row>
    <row r="13" spans="1:13" ht="22" x14ac:dyDescent="0.3">
      <c r="A13" s="42" t="s">
        <v>11</v>
      </c>
      <c r="B13" s="43">
        <v>1750.349976</v>
      </c>
      <c r="C13" s="43">
        <v>1753.0500489999999</v>
      </c>
      <c r="D13" s="43">
        <v>1788.599976</v>
      </c>
      <c r="E13" s="43">
        <v>1740</v>
      </c>
      <c r="F13" s="61">
        <f t="shared" si="2"/>
        <v>-1.5402144402780682E-3</v>
      </c>
      <c r="G13" s="43">
        <f t="shared" si="0"/>
        <v>8751.7498799999994</v>
      </c>
      <c r="H13" s="62"/>
      <c r="I13" s="62"/>
      <c r="J13" s="62"/>
      <c r="K13" s="62"/>
      <c r="L13" s="62"/>
      <c r="M13" s="64"/>
    </row>
    <row r="14" spans="1:13" ht="22" x14ac:dyDescent="0.3">
      <c r="A14" s="42" t="s">
        <v>12</v>
      </c>
      <c r="B14" s="43">
        <v>1808.1999510000001</v>
      </c>
      <c r="C14" s="43">
        <v>1762.5500489999999</v>
      </c>
      <c r="D14" s="43">
        <v>1820</v>
      </c>
      <c r="E14" s="43">
        <v>1756.3000489999999</v>
      </c>
      <c r="F14" s="60">
        <f t="shared" ref="F14:F18" si="3">(B14-C14)/C14</f>
        <v>2.5899918147515886E-2</v>
      </c>
      <c r="G14" s="43">
        <f t="shared" si="0"/>
        <v>9040.9997550000007</v>
      </c>
      <c r="H14" s="62"/>
      <c r="I14" s="62"/>
      <c r="J14" s="62"/>
      <c r="K14" s="62"/>
      <c r="L14" s="62"/>
      <c r="M14" s="64"/>
    </row>
    <row r="15" spans="1:13" ht="22" x14ac:dyDescent="0.3">
      <c r="A15" s="42" t="s">
        <v>13</v>
      </c>
      <c r="B15" s="43">
        <v>1798.1999510000001</v>
      </c>
      <c r="C15" s="43">
        <v>1808.1999510000001</v>
      </c>
      <c r="D15" s="43">
        <v>1815.4499510000001</v>
      </c>
      <c r="E15" s="43">
        <v>1772</v>
      </c>
      <c r="F15" s="61">
        <f t="shared" si="3"/>
        <v>-5.5303618355202573E-3</v>
      </c>
      <c r="G15" s="43">
        <f t="shared" si="0"/>
        <v>8990.9997550000007</v>
      </c>
      <c r="H15" s="62"/>
      <c r="I15" s="62"/>
      <c r="J15" s="62"/>
      <c r="K15" s="62"/>
      <c r="L15" s="62"/>
      <c r="M15" s="64"/>
    </row>
    <row r="16" spans="1:13" ht="22" x14ac:dyDescent="0.3">
      <c r="A16" s="42" t="s">
        <v>14</v>
      </c>
      <c r="B16" s="43">
        <v>1743.0500489999999</v>
      </c>
      <c r="C16" s="43">
        <v>1786.849976</v>
      </c>
      <c r="D16" s="43">
        <v>1787</v>
      </c>
      <c r="E16" s="43">
        <v>1739.9499510000001</v>
      </c>
      <c r="F16" s="61">
        <f t="shared" si="3"/>
        <v>-2.451236958239186E-2</v>
      </c>
      <c r="G16" s="43">
        <f t="shared" si="0"/>
        <v>8715.2502449999993</v>
      </c>
      <c r="H16" s="62"/>
      <c r="I16" s="62"/>
      <c r="J16" s="62"/>
      <c r="K16" s="62"/>
      <c r="L16" s="62"/>
      <c r="M16" s="64"/>
    </row>
    <row r="17" spans="1:13" ht="22" x14ac:dyDescent="0.3">
      <c r="A17" s="42" t="s">
        <v>15</v>
      </c>
      <c r="B17" s="43">
        <v>1732.6999510000001</v>
      </c>
      <c r="C17" s="43">
        <v>1742</v>
      </c>
      <c r="D17" s="43">
        <v>1755</v>
      </c>
      <c r="E17" s="43">
        <v>1722</v>
      </c>
      <c r="F17" s="61">
        <f t="shared" si="3"/>
        <v>-5.3387192881744804E-3</v>
      </c>
      <c r="G17" s="43">
        <f t="shared" si="0"/>
        <v>8663.4997550000007</v>
      </c>
      <c r="H17" s="62"/>
      <c r="I17" s="62"/>
      <c r="J17" s="62"/>
      <c r="K17" s="62"/>
      <c r="L17" s="62"/>
      <c r="M17" s="64"/>
    </row>
    <row r="18" spans="1:13" ht="22" x14ac:dyDescent="0.3">
      <c r="A18" s="42" t="s">
        <v>16</v>
      </c>
      <c r="B18" s="43">
        <v>1734.75</v>
      </c>
      <c r="C18" s="43">
        <v>1731.650024</v>
      </c>
      <c r="D18" s="43">
        <v>1743.9499510000001</v>
      </c>
      <c r="E18" s="43">
        <v>1718</v>
      </c>
      <c r="F18" s="60">
        <f t="shared" si="3"/>
        <v>1.7901862137472933E-3</v>
      </c>
      <c r="G18" s="43">
        <f t="shared" si="0"/>
        <v>8673.75</v>
      </c>
      <c r="H18" s="62"/>
      <c r="I18" s="62"/>
      <c r="J18" s="62"/>
      <c r="K18" s="62"/>
      <c r="L18" s="62"/>
      <c r="M18" s="64"/>
    </row>
    <row r="19" spans="1:13" ht="22" x14ac:dyDescent="0.3">
      <c r="A19" s="42" t="s">
        <v>73</v>
      </c>
      <c r="B19" s="43">
        <v>1730.6999510000001</v>
      </c>
      <c r="C19" s="43">
        <v>1800</v>
      </c>
      <c r="D19" s="43">
        <v>1815.900024</v>
      </c>
      <c r="E19" s="43">
        <v>1725.3000489999999</v>
      </c>
      <c r="F19" s="61">
        <f t="shared" ref="F19:F23" si="4">(B19-C19)/C19</f>
        <v>-3.8500027222222191E-2</v>
      </c>
      <c r="G19" s="43">
        <f t="shared" si="0"/>
        <v>8653.4997550000007</v>
      </c>
      <c r="H19" s="64"/>
      <c r="I19" s="64"/>
      <c r="J19" s="64"/>
      <c r="K19" s="64"/>
      <c r="L19" s="64"/>
      <c r="M19" s="64"/>
    </row>
    <row r="20" spans="1:13" ht="22" x14ac:dyDescent="0.3">
      <c r="A20" s="42" t="s">
        <v>74</v>
      </c>
      <c r="B20" s="43">
        <v>1702.4499510000001</v>
      </c>
      <c r="C20" s="43">
        <v>1731.849976</v>
      </c>
      <c r="D20" s="43">
        <v>1747.849976</v>
      </c>
      <c r="E20" s="43">
        <v>1671.0500489999999</v>
      </c>
      <c r="F20" s="61">
        <f t="shared" si="4"/>
        <v>-1.6976080727214165E-2</v>
      </c>
      <c r="G20" s="43">
        <f t="shared" si="0"/>
        <v>8512.2497550000007</v>
      </c>
      <c r="H20" s="64"/>
      <c r="I20" s="64"/>
      <c r="J20" s="64"/>
      <c r="K20" s="64"/>
      <c r="L20" s="64"/>
      <c r="M20" s="64"/>
    </row>
    <row r="21" spans="1:13" ht="22" x14ac:dyDescent="0.3">
      <c r="A21" s="42" t="s">
        <v>75</v>
      </c>
      <c r="B21" s="43">
        <v>1795.099976</v>
      </c>
      <c r="C21" s="43">
        <v>1739.900024</v>
      </c>
      <c r="D21" s="43">
        <v>1800</v>
      </c>
      <c r="E21" s="43">
        <v>1680</v>
      </c>
      <c r="F21" s="60">
        <f t="shared" si="4"/>
        <v>3.1725933236724832E-2</v>
      </c>
      <c r="G21" s="43">
        <f t="shared" si="0"/>
        <v>8975.4998799999994</v>
      </c>
      <c r="H21" s="64"/>
      <c r="I21" s="64"/>
      <c r="J21" s="64"/>
      <c r="K21" s="64"/>
      <c r="L21" s="64"/>
      <c r="M21" s="64"/>
    </row>
    <row r="22" spans="1:13" ht="22" x14ac:dyDescent="0.3">
      <c r="A22" s="42" t="s">
        <v>76</v>
      </c>
      <c r="B22" s="43">
        <v>1803.0500489999999</v>
      </c>
      <c r="C22" s="43">
        <v>1810</v>
      </c>
      <c r="D22" s="43">
        <v>1833.8000489999999</v>
      </c>
      <c r="E22" s="43">
        <v>1780</v>
      </c>
      <c r="F22" s="61">
        <f t="shared" si="4"/>
        <v>-3.8397519337016882E-3</v>
      </c>
      <c r="G22" s="43">
        <f t="shared" si="0"/>
        <v>9015.2502449999993</v>
      </c>
      <c r="H22" s="64"/>
      <c r="I22" s="64"/>
      <c r="J22" s="64"/>
      <c r="K22" s="64"/>
      <c r="L22" s="64"/>
      <c r="M22" s="64"/>
    </row>
    <row r="23" spans="1:13" ht="22" x14ac:dyDescent="0.3">
      <c r="A23" s="42" t="s">
        <v>77</v>
      </c>
      <c r="B23" s="43">
        <v>1924.8000489999999</v>
      </c>
      <c r="C23" s="43">
        <v>1813</v>
      </c>
      <c r="D23" s="43">
        <v>1936</v>
      </c>
      <c r="E23" s="43">
        <v>1809.150024</v>
      </c>
      <c r="F23" s="60">
        <f t="shared" si="4"/>
        <v>6.1665774407060094E-2</v>
      </c>
      <c r="G23" s="43">
        <f t="shared" si="0"/>
        <v>9624.0002449999993</v>
      </c>
      <c r="H23" s="64"/>
      <c r="I23" s="64"/>
      <c r="J23" s="64"/>
      <c r="K23" s="64"/>
      <c r="L23" s="64"/>
      <c r="M23" s="64"/>
    </row>
    <row r="24" spans="1:13" ht="22" x14ac:dyDescent="0.3">
      <c r="A24" s="42" t="s">
        <v>78</v>
      </c>
      <c r="B24" s="43">
        <v>1887.3000489999999</v>
      </c>
      <c r="C24" s="43">
        <v>1924.5</v>
      </c>
      <c r="D24" s="43">
        <v>1928</v>
      </c>
      <c r="E24" s="43">
        <v>1867.1999510000001</v>
      </c>
      <c r="F24" s="61">
        <f t="shared" ref="F24" si="5">(B24-C24)/C24</f>
        <v>-1.932967056378283E-2</v>
      </c>
      <c r="G24" s="43">
        <f t="shared" si="0"/>
        <v>9436.5002449999993</v>
      </c>
      <c r="H24" s="64"/>
      <c r="I24" s="64"/>
      <c r="J24" s="64"/>
      <c r="K24" s="64"/>
      <c r="L24" s="64"/>
      <c r="M24" s="64"/>
    </row>
    <row r="25" spans="1:13" ht="17" thickBot="1" x14ac:dyDescent="0.25"/>
    <row r="26" spans="1:13" x14ac:dyDescent="0.2">
      <c r="A26" s="89" t="s">
        <v>83</v>
      </c>
      <c r="B26" s="90"/>
      <c r="C26" s="33">
        <f>B4</f>
        <v>1869</v>
      </c>
      <c r="D26" s="34"/>
    </row>
    <row r="27" spans="1:13" x14ac:dyDescent="0.2">
      <c r="A27" s="78" t="s">
        <v>82</v>
      </c>
      <c r="B27" s="79"/>
      <c r="C27" s="31">
        <f>B24</f>
        <v>1887.3000489999999</v>
      </c>
      <c r="D27" s="35"/>
    </row>
    <row r="28" spans="1:13" x14ac:dyDescent="0.2">
      <c r="A28" s="78" t="s">
        <v>84</v>
      </c>
      <c r="B28" s="79"/>
      <c r="C28" s="31">
        <v>5</v>
      </c>
      <c r="D28" s="35"/>
    </row>
    <row r="29" spans="1:13" x14ac:dyDescent="0.2">
      <c r="A29" s="36" t="s">
        <v>86</v>
      </c>
      <c r="D29" s="35">
        <f>C28*C26</f>
        <v>9345</v>
      </c>
    </row>
    <row r="30" spans="1:13" x14ac:dyDescent="0.2">
      <c r="A30" s="80" t="s">
        <v>85</v>
      </c>
      <c r="B30" s="81"/>
      <c r="C30" s="81"/>
      <c r="D30" s="35">
        <f>C28*C27</f>
        <v>9436.5002449999993</v>
      </c>
    </row>
    <row r="31" spans="1:13" ht="17" thickBot="1" x14ac:dyDescent="0.25">
      <c r="A31" s="82" t="s">
        <v>87</v>
      </c>
      <c r="B31" s="83"/>
      <c r="C31" s="83"/>
      <c r="D31" s="37">
        <f>D30-D29</f>
        <v>91.500244999999268</v>
      </c>
    </row>
    <row r="33" spans="4:4" x14ac:dyDescent="0.2">
      <c r="D33" s="30">
        <f>(D31/D29)*100</f>
        <v>0.97913584804707621</v>
      </c>
    </row>
  </sheetData>
  <mergeCells count="8">
    <mergeCell ref="A27:B27"/>
    <mergeCell ref="A28:B28"/>
    <mergeCell ref="A30:C30"/>
    <mergeCell ref="A31:C31"/>
    <mergeCell ref="H1:L1"/>
    <mergeCell ref="A1:F1"/>
    <mergeCell ref="A2:F2"/>
    <mergeCell ref="A26:B26"/>
  </mergeCells>
  <pageMargins left="0.7" right="0.7" top="0.75" bottom="0.75" header="0.3" footer="0.3"/>
  <pageSetup paperSize="9" scale="58" orientation="portrait" horizontalDpi="0" verticalDpi="0"/>
  <colBreaks count="1" manualBreakCount="1">
    <brk id="6" max="41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B3F5E-EC7C-3943-AD60-C590E308EFCA}">
  <dimension ref="A1:P31"/>
  <sheetViews>
    <sheetView topLeftCell="A15" zoomScale="125" zoomScaleNormal="125" zoomScaleSheetLayoutView="100" workbookViewId="0">
      <selection activeCell="C13" sqref="C1:G1048576"/>
    </sheetView>
  </sheetViews>
  <sheetFormatPr baseColWidth="10" defaultRowHeight="24" x14ac:dyDescent="0.3"/>
  <cols>
    <col min="1" max="1" width="12.83203125" style="1" bestFit="1" customWidth="1"/>
    <col min="2" max="2" width="20.1640625" style="1" customWidth="1"/>
    <col min="3" max="3" width="14.1640625" style="1" customWidth="1"/>
    <col min="4" max="4" width="13.1640625" style="1" customWidth="1"/>
    <col min="5" max="5" width="21.1640625" style="1" customWidth="1"/>
    <col min="6" max="6" width="13.5" style="17" customWidth="1"/>
    <col min="7" max="7" width="30.1640625" style="1" bestFit="1" customWidth="1"/>
    <col min="8" max="8" width="15.6640625" style="1" customWidth="1"/>
    <col min="9" max="9" width="19.5" style="1" customWidth="1"/>
    <col min="10" max="10" width="17.33203125" style="1" bestFit="1" customWidth="1"/>
    <col min="11" max="11" width="10.83203125" style="1"/>
    <col min="12" max="12" width="12.83203125" style="1" bestFit="1" customWidth="1"/>
    <col min="13" max="13" width="19" style="1" bestFit="1" customWidth="1"/>
    <col min="14" max="16384" width="10.83203125" style="1"/>
  </cols>
  <sheetData>
    <row r="1" spans="1:16" x14ac:dyDescent="0.3">
      <c r="A1" s="75" t="s">
        <v>81</v>
      </c>
      <c r="B1" s="76"/>
      <c r="C1" s="76"/>
      <c r="D1" s="76"/>
      <c r="E1" s="76"/>
      <c r="F1" s="77"/>
      <c r="G1" s="58"/>
      <c r="H1" s="58"/>
      <c r="I1" s="58"/>
      <c r="J1" s="58"/>
      <c r="K1" s="59"/>
      <c r="L1" s="95"/>
      <c r="M1" s="95"/>
      <c r="N1" s="95"/>
      <c r="O1" s="95"/>
      <c r="P1" s="95"/>
    </row>
    <row r="2" spans="1:16" x14ac:dyDescent="0.3">
      <c r="A2" s="75" t="s">
        <v>67</v>
      </c>
      <c r="B2" s="76"/>
      <c r="C2" s="76"/>
      <c r="D2" s="76"/>
      <c r="E2" s="76"/>
      <c r="F2" s="77"/>
      <c r="G2" s="66"/>
      <c r="H2" s="66"/>
      <c r="I2" s="66"/>
      <c r="J2" s="66"/>
      <c r="K2" s="59"/>
      <c r="L2" s="66"/>
      <c r="M2" s="66"/>
      <c r="N2" s="66"/>
      <c r="O2" s="66"/>
      <c r="P2" s="66"/>
    </row>
    <row r="3" spans="1:16" x14ac:dyDescent="0.3">
      <c r="A3" s="6" t="s">
        <v>0</v>
      </c>
      <c r="B3" s="6" t="s">
        <v>2</v>
      </c>
      <c r="C3" s="6" t="s">
        <v>71</v>
      </c>
      <c r="D3" s="6" t="s">
        <v>1</v>
      </c>
      <c r="E3" s="6" t="s">
        <v>72</v>
      </c>
      <c r="F3" s="18" t="s">
        <v>79</v>
      </c>
      <c r="G3" s="6" t="s">
        <v>100</v>
      </c>
      <c r="H3" s="58"/>
      <c r="I3" s="58"/>
      <c r="J3" s="58"/>
      <c r="K3" s="59"/>
      <c r="L3" s="58"/>
      <c r="M3" s="58"/>
      <c r="N3" s="58"/>
      <c r="O3" s="58"/>
      <c r="P3" s="58"/>
    </row>
    <row r="4" spans="1:16" x14ac:dyDescent="0.3">
      <c r="A4" s="2" t="s">
        <v>70</v>
      </c>
      <c r="B4" s="10">
        <v>4670</v>
      </c>
      <c r="C4" s="10">
        <v>4573.8500000000004</v>
      </c>
      <c r="D4" s="10">
        <v>4687.8999999999996</v>
      </c>
      <c r="E4" s="10">
        <v>4557.95</v>
      </c>
      <c r="F4" s="19">
        <f>(B4-C4)/C4</f>
        <v>2.1021677580156679E-2</v>
      </c>
      <c r="G4" s="59">
        <f>2*B4</f>
        <v>9340</v>
      </c>
      <c r="H4" s="59"/>
      <c r="I4" s="59"/>
      <c r="J4" s="59"/>
      <c r="K4" s="59"/>
      <c r="L4" s="59"/>
      <c r="M4" s="59"/>
      <c r="N4" s="59"/>
      <c r="O4" s="59"/>
      <c r="P4" s="59"/>
    </row>
    <row r="5" spans="1:16" x14ac:dyDescent="0.3">
      <c r="A5" s="2" t="s">
        <v>3</v>
      </c>
      <c r="B5" s="10">
        <v>4657.45</v>
      </c>
      <c r="C5" s="10">
        <v>4679</v>
      </c>
      <c r="D5" s="10">
        <v>4733.8</v>
      </c>
      <c r="E5" s="10">
        <v>4528.3</v>
      </c>
      <c r="F5" s="16">
        <f t="shared" ref="F5:F9" si="0">(B5-C5)/C5</f>
        <v>-4.6056849754221377E-3</v>
      </c>
      <c r="G5" s="59">
        <f t="shared" ref="G5:G24" si="1">2*B5</f>
        <v>9314.9</v>
      </c>
      <c r="H5" s="59"/>
      <c r="I5" s="59"/>
      <c r="J5" s="59"/>
      <c r="K5" s="59"/>
      <c r="L5" s="59"/>
      <c r="M5" s="59"/>
      <c r="N5" s="59"/>
      <c r="O5" s="59"/>
      <c r="P5" s="59"/>
    </row>
    <row r="6" spans="1:16" x14ac:dyDescent="0.3">
      <c r="A6" s="2" t="s">
        <v>4</v>
      </c>
      <c r="B6" s="10">
        <v>4730.55</v>
      </c>
      <c r="C6" s="10">
        <v>4667.3999999999996</v>
      </c>
      <c r="D6" s="10">
        <v>4742.95</v>
      </c>
      <c r="E6" s="10">
        <v>4651.1000000000004</v>
      </c>
      <c r="F6" s="19">
        <f t="shared" si="0"/>
        <v>1.3530016711659714E-2</v>
      </c>
      <c r="G6" s="59">
        <f t="shared" si="1"/>
        <v>9461.1</v>
      </c>
      <c r="H6" s="59"/>
      <c r="I6" s="59"/>
      <c r="J6" s="59"/>
      <c r="K6" s="59"/>
      <c r="L6" s="59"/>
      <c r="M6" s="59"/>
      <c r="N6" s="59"/>
      <c r="O6" s="59"/>
      <c r="P6" s="59"/>
    </row>
    <row r="7" spans="1:16" x14ac:dyDescent="0.3">
      <c r="A7" s="2" t="s">
        <v>5</v>
      </c>
      <c r="B7" s="10">
        <v>4649.3500000000004</v>
      </c>
      <c r="C7" s="10">
        <v>4730.55</v>
      </c>
      <c r="D7" s="10">
        <v>4730.55</v>
      </c>
      <c r="E7" s="10">
        <v>4598.1000000000004</v>
      </c>
      <c r="F7" s="16">
        <f t="shared" si="0"/>
        <v>-1.7165023094566131E-2</v>
      </c>
      <c r="G7" s="59">
        <f t="shared" si="1"/>
        <v>9298.7000000000007</v>
      </c>
      <c r="H7" s="59"/>
      <c r="I7" s="59"/>
      <c r="J7" s="59"/>
      <c r="K7" s="59"/>
      <c r="L7" s="59"/>
      <c r="M7" s="59"/>
      <c r="N7" s="59"/>
      <c r="O7" s="59"/>
      <c r="P7" s="59"/>
    </row>
    <row r="8" spans="1:16" x14ac:dyDescent="0.3">
      <c r="A8" s="2" t="s">
        <v>6</v>
      </c>
      <c r="B8" s="10">
        <v>4681.75</v>
      </c>
      <c r="C8" s="10">
        <v>4650</v>
      </c>
      <c r="D8" s="10">
        <v>4697.95</v>
      </c>
      <c r="E8" s="10">
        <v>4543.1000000000004</v>
      </c>
      <c r="F8" s="19">
        <f t="shared" si="0"/>
        <v>6.8279569892473121E-3</v>
      </c>
      <c r="G8" s="59">
        <f t="shared" si="1"/>
        <v>9363.5</v>
      </c>
      <c r="H8" s="59"/>
      <c r="I8" s="59"/>
      <c r="J8" s="59"/>
      <c r="K8" s="59"/>
      <c r="L8" s="59"/>
      <c r="M8" s="59"/>
      <c r="N8" s="59"/>
      <c r="O8" s="59"/>
      <c r="P8" s="59"/>
    </row>
    <row r="9" spans="1:16" x14ac:dyDescent="0.3">
      <c r="A9" s="2" t="s">
        <v>7</v>
      </c>
      <c r="B9" s="10">
        <v>4693.8999999999996</v>
      </c>
      <c r="C9" s="10">
        <v>4660</v>
      </c>
      <c r="D9" s="10">
        <v>4700</v>
      </c>
      <c r="E9" s="10">
        <v>4622</v>
      </c>
      <c r="F9" s="19">
        <f t="shared" si="0"/>
        <v>7.2746781115879044E-3</v>
      </c>
      <c r="G9" s="59">
        <f t="shared" si="1"/>
        <v>9387.7999999999993</v>
      </c>
      <c r="H9" s="59"/>
      <c r="I9" s="59"/>
      <c r="J9" s="59"/>
      <c r="K9" s="59"/>
      <c r="L9" s="59"/>
      <c r="M9" s="59"/>
      <c r="N9" s="59"/>
      <c r="O9" s="59"/>
      <c r="P9" s="59"/>
    </row>
    <row r="10" spans="1:16" x14ac:dyDescent="0.3">
      <c r="A10" s="2" t="s">
        <v>8</v>
      </c>
      <c r="B10" s="10">
        <v>4672.95</v>
      </c>
      <c r="C10" s="10">
        <v>4650</v>
      </c>
      <c r="D10" s="10">
        <v>4728.8500000000004</v>
      </c>
      <c r="E10" s="10">
        <v>4650</v>
      </c>
      <c r="F10" s="19">
        <f t="shared" ref="F10:F13" si="2">(B10-C10)/C10</f>
        <v>4.9354838709677025E-3</v>
      </c>
      <c r="G10" s="59">
        <f t="shared" si="1"/>
        <v>9345.9</v>
      </c>
      <c r="H10" s="59"/>
      <c r="I10" s="59"/>
      <c r="J10" s="59"/>
      <c r="K10" s="59"/>
      <c r="L10" s="59"/>
      <c r="M10" s="59"/>
      <c r="N10" s="59"/>
      <c r="O10" s="59"/>
      <c r="P10" s="59"/>
    </row>
    <row r="11" spans="1:16" x14ac:dyDescent="0.3">
      <c r="A11" s="2" t="s">
        <v>9</v>
      </c>
      <c r="B11" s="10">
        <v>4695.45</v>
      </c>
      <c r="C11" s="10">
        <v>4673</v>
      </c>
      <c r="D11" s="10">
        <v>4707.6499999999996</v>
      </c>
      <c r="E11" s="10">
        <v>4665.5</v>
      </c>
      <c r="F11" s="19">
        <f t="shared" si="2"/>
        <v>4.8041943077251912E-3</v>
      </c>
      <c r="G11" s="59">
        <f t="shared" si="1"/>
        <v>9390.9</v>
      </c>
      <c r="H11" s="59"/>
      <c r="I11" s="59"/>
      <c r="J11" s="59"/>
      <c r="K11" s="59"/>
      <c r="L11" s="59"/>
      <c r="M11" s="59"/>
      <c r="N11" s="59"/>
      <c r="O11" s="59"/>
      <c r="P11" s="59"/>
    </row>
    <row r="12" spans="1:16" x14ac:dyDescent="0.3">
      <c r="A12" s="2" t="s">
        <v>10</v>
      </c>
      <c r="B12" s="10">
        <v>4852.8500000000004</v>
      </c>
      <c r="C12" s="10">
        <v>4696.6499999999996</v>
      </c>
      <c r="D12" s="10">
        <v>4867.8500000000004</v>
      </c>
      <c r="E12" s="10">
        <v>4682.55</v>
      </c>
      <c r="F12" s="19">
        <f t="shared" si="2"/>
        <v>3.3257747543461988E-2</v>
      </c>
      <c r="G12" s="59">
        <f t="shared" si="1"/>
        <v>9705.7000000000007</v>
      </c>
      <c r="H12" s="59"/>
      <c r="I12" s="59"/>
      <c r="J12" s="59"/>
      <c r="K12" s="59"/>
      <c r="L12" s="59"/>
      <c r="M12" s="59"/>
      <c r="N12" s="59"/>
      <c r="O12" s="59"/>
      <c r="P12" s="59"/>
    </row>
    <row r="13" spans="1:16" x14ac:dyDescent="0.3">
      <c r="A13" s="2" t="s">
        <v>11</v>
      </c>
      <c r="B13" s="10">
        <v>4880.95</v>
      </c>
      <c r="C13" s="10">
        <v>4822.5</v>
      </c>
      <c r="D13" s="10">
        <v>4908</v>
      </c>
      <c r="E13" s="10">
        <v>4807.3999999999996</v>
      </c>
      <c r="F13" s="19">
        <f t="shared" si="2"/>
        <v>1.2120269569725209E-2</v>
      </c>
      <c r="G13" s="59">
        <f t="shared" si="1"/>
        <v>9761.9</v>
      </c>
      <c r="H13" s="59"/>
      <c r="I13" s="59"/>
      <c r="J13" s="59"/>
      <c r="K13" s="59"/>
      <c r="L13" s="59"/>
      <c r="M13" s="59"/>
      <c r="N13" s="59"/>
      <c r="O13" s="59"/>
      <c r="P13" s="59"/>
    </row>
    <row r="14" spans="1:16" x14ac:dyDescent="0.3">
      <c r="A14" s="2" t="s">
        <v>12</v>
      </c>
      <c r="B14" s="10">
        <v>4793.3</v>
      </c>
      <c r="C14" s="10">
        <v>4861.05</v>
      </c>
      <c r="D14" s="10">
        <v>4907</v>
      </c>
      <c r="E14" s="10">
        <v>4770</v>
      </c>
      <c r="F14" s="16">
        <f t="shared" ref="F14:F18" si="3">(B14-C14)/C14</f>
        <v>-1.393731806914144E-2</v>
      </c>
      <c r="G14" s="59">
        <f t="shared" si="1"/>
        <v>9586.6</v>
      </c>
      <c r="H14" s="59"/>
      <c r="I14" s="59"/>
      <c r="J14" s="59"/>
      <c r="K14" s="59"/>
      <c r="L14" s="59"/>
      <c r="M14" s="59"/>
      <c r="N14" s="59"/>
      <c r="O14" s="59"/>
      <c r="P14" s="59"/>
    </row>
    <row r="15" spans="1:16" x14ac:dyDescent="0.3">
      <c r="A15" s="2" t="s">
        <v>13</v>
      </c>
      <c r="B15" s="10">
        <v>4770.95</v>
      </c>
      <c r="C15" s="10">
        <v>4793.3</v>
      </c>
      <c r="D15" s="10">
        <v>4825.5</v>
      </c>
      <c r="E15" s="10">
        <v>4760</v>
      </c>
      <c r="F15" s="16">
        <f t="shared" si="3"/>
        <v>-4.6627584336470414E-3</v>
      </c>
      <c r="G15" s="59">
        <f t="shared" si="1"/>
        <v>9541.9</v>
      </c>
      <c r="H15" s="59"/>
      <c r="I15" s="59"/>
      <c r="J15" s="59"/>
      <c r="K15" s="59"/>
      <c r="L15" s="59"/>
      <c r="M15" s="59"/>
      <c r="N15" s="59"/>
      <c r="O15" s="59"/>
      <c r="P15" s="59"/>
    </row>
    <row r="16" spans="1:16" x14ac:dyDescent="0.3">
      <c r="A16" s="2" t="s">
        <v>14</v>
      </c>
      <c r="B16" s="10">
        <v>4745.3999999999996</v>
      </c>
      <c r="C16" s="10">
        <v>4746</v>
      </c>
      <c r="D16" s="10">
        <v>4808.8500000000004</v>
      </c>
      <c r="E16" s="10">
        <v>4724.25</v>
      </c>
      <c r="F16" s="19">
        <f t="shared" si="3"/>
        <v>-1.2642225031613227E-4</v>
      </c>
      <c r="G16" s="59">
        <f t="shared" si="1"/>
        <v>9490.7999999999993</v>
      </c>
      <c r="H16" s="59"/>
      <c r="I16" s="59"/>
      <c r="J16" s="59"/>
      <c r="K16" s="59"/>
      <c r="L16" s="59"/>
      <c r="M16" s="59"/>
      <c r="N16" s="59"/>
      <c r="O16" s="59"/>
      <c r="P16" s="59"/>
    </row>
    <row r="17" spans="1:16" x14ac:dyDescent="0.3">
      <c r="A17" s="2" t="s">
        <v>15</v>
      </c>
      <c r="B17" s="10">
        <v>4742.95</v>
      </c>
      <c r="C17" s="10">
        <v>4709.75</v>
      </c>
      <c r="D17" s="10">
        <v>4770</v>
      </c>
      <c r="E17" s="10">
        <v>4704.7</v>
      </c>
      <c r="F17" s="19">
        <f t="shared" si="3"/>
        <v>7.0492064334624592E-3</v>
      </c>
      <c r="G17" s="59">
        <f t="shared" si="1"/>
        <v>9485.9</v>
      </c>
      <c r="H17" s="59"/>
      <c r="I17" s="59"/>
      <c r="J17" s="59"/>
      <c r="K17" s="59"/>
      <c r="L17" s="59"/>
      <c r="M17" s="59"/>
      <c r="N17" s="59"/>
      <c r="O17" s="59"/>
      <c r="P17" s="59"/>
    </row>
    <row r="18" spans="1:16" x14ac:dyDescent="0.3">
      <c r="A18" s="2" t="s">
        <v>16</v>
      </c>
      <c r="B18" s="10">
        <v>4733.45</v>
      </c>
      <c r="C18" s="10">
        <v>4742.2</v>
      </c>
      <c r="D18" s="10">
        <v>4790</v>
      </c>
      <c r="E18" s="10">
        <v>4668.25</v>
      </c>
      <c r="F18" s="16">
        <f t="shared" si="3"/>
        <v>-1.8451351693306904E-3</v>
      </c>
      <c r="G18" s="59">
        <f t="shared" si="1"/>
        <v>9466.9</v>
      </c>
      <c r="H18" s="59"/>
      <c r="I18" s="59"/>
      <c r="J18" s="59"/>
      <c r="K18" s="59"/>
      <c r="L18" s="59"/>
      <c r="M18" s="59"/>
      <c r="N18" s="59"/>
      <c r="O18" s="59"/>
      <c r="P18" s="59"/>
    </row>
    <row r="19" spans="1:16" x14ac:dyDescent="0.3">
      <c r="A19" s="2" t="s">
        <v>73</v>
      </c>
      <c r="B19" s="10">
        <v>4670.8500000000004</v>
      </c>
      <c r="C19" s="10">
        <v>4800</v>
      </c>
      <c r="D19" s="10">
        <v>4800</v>
      </c>
      <c r="E19" s="10">
        <v>4640</v>
      </c>
      <c r="F19" s="16">
        <f t="shared" ref="F19:F23" si="4">(B19-C19)/C19</f>
        <v>-2.6906249999999923E-2</v>
      </c>
      <c r="G19" s="59">
        <f t="shared" si="1"/>
        <v>9341.7000000000007</v>
      </c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">
      <c r="A20" s="2" t="s">
        <v>74</v>
      </c>
      <c r="B20" s="10">
        <v>4495.3999999999996</v>
      </c>
      <c r="C20" s="10">
        <v>4679.8999999999996</v>
      </c>
      <c r="D20" s="10">
        <v>4706.8500000000004</v>
      </c>
      <c r="E20" s="10">
        <v>4253.8500000000004</v>
      </c>
      <c r="F20" s="16">
        <f t="shared" si="4"/>
        <v>-3.942391931451527E-2</v>
      </c>
      <c r="G20" s="59">
        <f t="shared" si="1"/>
        <v>8990.7999999999993</v>
      </c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">
      <c r="A21" s="2" t="s">
        <v>75</v>
      </c>
      <c r="B21" s="10">
        <v>4579</v>
      </c>
      <c r="C21" s="10">
        <v>4539.1000000000004</v>
      </c>
      <c r="D21" s="10">
        <v>4647.45</v>
      </c>
      <c r="E21" s="10">
        <v>4495</v>
      </c>
      <c r="F21" s="19">
        <f t="shared" si="4"/>
        <v>8.7902888237755567E-3</v>
      </c>
      <c r="G21" s="59">
        <f t="shared" si="1"/>
        <v>9158</v>
      </c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">
      <c r="A22" s="2" t="s">
        <v>76</v>
      </c>
      <c r="B22" s="10">
        <v>4719.75</v>
      </c>
      <c r="C22" s="10">
        <v>4579</v>
      </c>
      <c r="D22" s="10">
        <v>4727</v>
      </c>
      <c r="E22" s="10">
        <v>4538.3</v>
      </c>
      <c r="F22" s="19">
        <f t="shared" si="4"/>
        <v>3.0738152435029482E-2</v>
      </c>
      <c r="G22" s="59">
        <f t="shared" si="1"/>
        <v>9439.5</v>
      </c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">
      <c r="A23" s="2" t="s">
        <v>77</v>
      </c>
      <c r="B23" s="10">
        <v>4762</v>
      </c>
      <c r="C23" s="10">
        <v>4700</v>
      </c>
      <c r="D23" s="10">
        <v>4769</v>
      </c>
      <c r="E23" s="10">
        <v>4670.1000000000004</v>
      </c>
      <c r="F23" s="19">
        <f t="shared" si="4"/>
        <v>1.3191489361702127E-2</v>
      </c>
      <c r="G23" s="59">
        <f t="shared" si="1"/>
        <v>9524</v>
      </c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">
      <c r="A24" s="2" t="s">
        <v>78</v>
      </c>
      <c r="B24" s="10">
        <v>4782.75</v>
      </c>
      <c r="C24" s="10">
        <v>4769.6000000000004</v>
      </c>
      <c r="D24" s="10">
        <v>4800</v>
      </c>
      <c r="E24" s="10">
        <v>4757</v>
      </c>
      <c r="F24" s="19">
        <f t="shared" ref="F24" si="5">(B24-C24)/C24</f>
        <v>2.757044615900628E-3</v>
      </c>
      <c r="G24" s="59">
        <f t="shared" si="1"/>
        <v>9565.5</v>
      </c>
      <c r="H24" s="2"/>
      <c r="I24" s="2"/>
      <c r="J24" s="2"/>
      <c r="K24" s="2"/>
      <c r="L24" s="2"/>
      <c r="M24" s="2"/>
      <c r="N24" s="2"/>
      <c r="O24" s="2"/>
      <c r="P24" s="2"/>
    </row>
    <row r="25" spans="1:16" ht="25" thickBot="1" x14ac:dyDescent="0.35"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">
      <c r="A26" s="96" t="s">
        <v>83</v>
      </c>
      <c r="B26" s="97"/>
      <c r="C26" s="21">
        <f>B4</f>
        <v>4670</v>
      </c>
      <c r="D26" s="2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">
      <c r="A27" s="98" t="s">
        <v>82</v>
      </c>
      <c r="B27" s="99"/>
      <c r="C27" s="23">
        <f>B24</f>
        <v>4782.75</v>
      </c>
      <c r="D27" s="24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">
      <c r="A28" s="98" t="s">
        <v>84</v>
      </c>
      <c r="B28" s="99"/>
      <c r="C28" s="1">
        <v>2</v>
      </c>
      <c r="D28" s="24"/>
    </row>
    <row r="29" spans="1:16" x14ac:dyDescent="0.3">
      <c r="A29" s="25" t="s">
        <v>86</v>
      </c>
      <c r="D29" s="24">
        <f>C28*C26</f>
        <v>9340</v>
      </c>
    </row>
    <row r="30" spans="1:16" x14ac:dyDescent="0.3">
      <c r="A30" s="91" t="s">
        <v>85</v>
      </c>
      <c r="B30" s="92"/>
      <c r="C30" s="92"/>
      <c r="D30" s="24">
        <f>C28*C27</f>
        <v>9565.5</v>
      </c>
    </row>
    <row r="31" spans="1:16" ht="25" thickBot="1" x14ac:dyDescent="0.35">
      <c r="A31" s="93" t="s">
        <v>87</v>
      </c>
      <c r="B31" s="94"/>
      <c r="C31" s="94"/>
      <c r="D31" s="26">
        <f>D30-D29</f>
        <v>225.5</v>
      </c>
    </row>
  </sheetData>
  <mergeCells count="8">
    <mergeCell ref="A30:C30"/>
    <mergeCell ref="A31:C31"/>
    <mergeCell ref="A1:F1"/>
    <mergeCell ref="L1:P1"/>
    <mergeCell ref="A2:F2"/>
    <mergeCell ref="A26:B26"/>
    <mergeCell ref="A27:B27"/>
    <mergeCell ref="A28:B28"/>
  </mergeCells>
  <pageMargins left="0.7" right="0.7" top="0.75" bottom="0.75" header="0.3" footer="0.3"/>
  <pageSetup paperSize="9" scale="56" orientation="portrait" horizontalDpi="0" verticalDpi="0"/>
  <colBreaks count="1" manualBreakCount="1">
    <brk id="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5FA98-4A2D-3B49-8489-71E7DCD3B720}">
  <dimension ref="A1:P33"/>
  <sheetViews>
    <sheetView topLeftCell="A13" zoomScaleNormal="100" zoomScaleSheetLayoutView="100" workbookViewId="0">
      <selection activeCell="D34" sqref="D34"/>
    </sheetView>
  </sheetViews>
  <sheetFormatPr baseColWidth="10" defaultRowHeight="24" x14ac:dyDescent="0.3"/>
  <cols>
    <col min="1" max="1" width="19.83203125" style="1" bestFit="1" customWidth="1"/>
    <col min="2" max="2" width="20.1640625" style="1" customWidth="1"/>
    <col min="3" max="3" width="15.5" style="1" customWidth="1"/>
    <col min="4" max="4" width="13.1640625" style="1" customWidth="1"/>
    <col min="5" max="5" width="21.1640625" style="1" customWidth="1"/>
    <col min="6" max="6" width="12.83203125" style="17" customWidth="1"/>
    <col min="7" max="7" width="22.6640625" style="23" bestFit="1" customWidth="1"/>
    <col min="8" max="8" width="15.6640625" style="1" customWidth="1"/>
    <col min="9" max="9" width="19.5" style="1" customWidth="1"/>
    <col min="10" max="10" width="17.33203125" style="1" bestFit="1" customWidth="1"/>
    <col min="11" max="11" width="10.83203125" style="1"/>
    <col min="12" max="12" width="12.83203125" style="1" bestFit="1" customWidth="1"/>
    <col min="13" max="13" width="34.33203125" style="1" customWidth="1"/>
    <col min="14" max="14" width="19.6640625" style="1" customWidth="1"/>
    <col min="15" max="16384" width="10.83203125" style="1"/>
  </cols>
  <sheetData>
    <row r="1" spans="1:16" x14ac:dyDescent="0.3">
      <c r="A1" s="100" t="s">
        <v>69</v>
      </c>
      <c r="B1" s="101"/>
      <c r="C1" s="101"/>
      <c r="D1" s="101"/>
      <c r="E1" s="101"/>
      <c r="F1" s="102"/>
      <c r="G1" s="67"/>
      <c r="H1" s="59"/>
      <c r="I1" s="59"/>
      <c r="J1" s="59"/>
      <c r="K1" s="59"/>
      <c r="L1" s="95"/>
      <c r="M1" s="95"/>
      <c r="N1" s="95"/>
      <c r="O1" s="95"/>
      <c r="P1" s="95"/>
    </row>
    <row r="2" spans="1:16" x14ac:dyDescent="0.3">
      <c r="A2" s="100" t="s">
        <v>67</v>
      </c>
      <c r="B2" s="101"/>
      <c r="C2" s="101"/>
      <c r="D2" s="101"/>
      <c r="E2" s="101"/>
      <c r="F2" s="102"/>
      <c r="G2" s="67"/>
      <c r="H2" s="59"/>
      <c r="I2" s="59"/>
      <c r="J2" s="59"/>
      <c r="K2" s="59"/>
      <c r="L2" s="66"/>
      <c r="M2" s="66"/>
      <c r="N2" s="66"/>
      <c r="O2" s="66"/>
      <c r="P2" s="66"/>
    </row>
    <row r="3" spans="1:16" x14ac:dyDescent="0.3">
      <c r="A3" s="7" t="s">
        <v>0</v>
      </c>
      <c r="B3" s="7" t="s">
        <v>2</v>
      </c>
      <c r="C3" s="7" t="s">
        <v>71</v>
      </c>
      <c r="D3" s="7" t="s">
        <v>1</v>
      </c>
      <c r="E3" s="12" t="s">
        <v>72</v>
      </c>
      <c r="F3" s="14" t="s">
        <v>80</v>
      </c>
      <c r="G3" s="68" t="s">
        <v>99</v>
      </c>
      <c r="H3" s="58"/>
      <c r="I3" s="58"/>
      <c r="J3" s="58"/>
      <c r="K3" s="59"/>
      <c r="L3" s="58"/>
      <c r="M3" s="58"/>
      <c r="N3" s="58"/>
      <c r="O3" s="58"/>
      <c r="P3" s="58"/>
    </row>
    <row r="4" spans="1:16" x14ac:dyDescent="0.3">
      <c r="A4" s="2" t="s">
        <v>70</v>
      </c>
      <c r="B4" s="10">
        <v>2149.9499999999998</v>
      </c>
      <c r="C4" s="10">
        <v>2085</v>
      </c>
      <c r="D4" s="10">
        <v>2160</v>
      </c>
      <c r="E4" s="13">
        <v>2053</v>
      </c>
      <c r="F4" s="15">
        <f>(B4-C4)/C4</f>
        <v>3.115107913669056E-2</v>
      </c>
      <c r="G4" s="69">
        <f>5*B4</f>
        <v>10749.75</v>
      </c>
      <c r="H4" s="58"/>
      <c r="I4" s="58"/>
      <c r="J4" s="58"/>
      <c r="K4" s="59"/>
      <c r="L4" s="58"/>
      <c r="M4" s="58"/>
      <c r="N4" s="58"/>
      <c r="O4" s="58"/>
      <c r="P4" s="58"/>
    </row>
    <row r="5" spans="1:16" x14ac:dyDescent="0.3">
      <c r="A5" s="2" t="s">
        <v>3</v>
      </c>
      <c r="B5" s="10">
        <v>2094.65</v>
      </c>
      <c r="C5" s="10">
        <v>2150</v>
      </c>
      <c r="D5" s="10">
        <v>2151.6</v>
      </c>
      <c r="E5" s="13">
        <v>2082</v>
      </c>
      <c r="F5" s="16">
        <f t="shared" ref="F5:F24" si="0">(B5-C5)/C5</f>
        <v>-2.5744186046511585E-2</v>
      </c>
      <c r="G5" s="69">
        <f t="shared" ref="G5:G24" si="1">5*B5</f>
        <v>10473.25</v>
      </c>
      <c r="H5" s="59"/>
      <c r="I5" s="59"/>
      <c r="J5" s="59"/>
      <c r="K5" s="59"/>
      <c r="L5" s="59"/>
      <c r="M5" s="59"/>
      <c r="N5" s="59"/>
      <c r="O5" s="59"/>
      <c r="P5" s="59"/>
    </row>
    <row r="6" spans="1:16" x14ac:dyDescent="0.3">
      <c r="A6" s="2" t="s">
        <v>4</v>
      </c>
      <c r="B6" s="10">
        <v>2132.15</v>
      </c>
      <c r="C6" s="10">
        <v>2102</v>
      </c>
      <c r="D6" s="10">
        <v>2160</v>
      </c>
      <c r="E6" s="13">
        <v>2094.75</v>
      </c>
      <c r="F6" s="15">
        <f t="shared" si="0"/>
        <v>1.4343482397716503E-2</v>
      </c>
      <c r="G6" s="69">
        <f t="shared" si="1"/>
        <v>10660.75</v>
      </c>
      <c r="H6" s="59"/>
      <c r="I6" s="59"/>
      <c r="J6" s="59"/>
      <c r="K6" s="59"/>
      <c r="L6" s="59"/>
      <c r="M6" s="59"/>
      <c r="N6" s="59"/>
      <c r="O6" s="59"/>
      <c r="P6" s="59"/>
    </row>
    <row r="7" spans="1:16" x14ac:dyDescent="0.3">
      <c r="A7" s="2" t="s">
        <v>5</v>
      </c>
      <c r="B7" s="10">
        <v>2160.3000000000002</v>
      </c>
      <c r="C7" s="10">
        <v>2144.25</v>
      </c>
      <c r="D7" s="10">
        <v>2179.8000000000002</v>
      </c>
      <c r="E7" s="13">
        <v>2137</v>
      </c>
      <c r="F7" s="15">
        <f t="shared" si="0"/>
        <v>7.4851346624694795E-3</v>
      </c>
      <c r="G7" s="69">
        <f t="shared" si="1"/>
        <v>10801.5</v>
      </c>
      <c r="H7" s="59"/>
      <c r="I7" s="59"/>
      <c r="J7" s="59"/>
      <c r="K7" s="59"/>
      <c r="L7" s="59"/>
      <c r="M7" s="59"/>
      <c r="N7" s="59"/>
      <c r="O7" s="59"/>
      <c r="P7" s="59"/>
    </row>
    <row r="8" spans="1:16" x14ac:dyDescent="0.3">
      <c r="A8" s="2" t="s">
        <v>6</v>
      </c>
      <c r="B8" s="10">
        <v>2152.5</v>
      </c>
      <c r="C8" s="10">
        <v>2141</v>
      </c>
      <c r="D8" s="10">
        <v>2179.4</v>
      </c>
      <c r="E8" s="13">
        <v>2135.5500000000002</v>
      </c>
      <c r="F8" s="15">
        <f t="shared" si="0"/>
        <v>5.3713218122372723E-3</v>
      </c>
      <c r="G8" s="69">
        <f t="shared" si="1"/>
        <v>10762.5</v>
      </c>
      <c r="H8" s="59"/>
      <c r="I8" s="59"/>
      <c r="J8" s="59"/>
      <c r="K8" s="59"/>
      <c r="L8" s="59"/>
      <c r="M8" s="59"/>
      <c r="N8" s="59"/>
      <c r="O8" s="59"/>
      <c r="P8" s="59"/>
    </row>
    <row r="9" spans="1:16" x14ac:dyDescent="0.3">
      <c r="A9" s="2" t="s">
        <v>7</v>
      </c>
      <c r="B9" s="10">
        <v>2253.85</v>
      </c>
      <c r="C9" s="10">
        <v>2161</v>
      </c>
      <c r="D9" s="10">
        <v>2274</v>
      </c>
      <c r="E9" s="13">
        <v>2154.1</v>
      </c>
      <c r="F9" s="15">
        <f t="shared" si="0"/>
        <v>4.2966219342896766E-2</v>
      </c>
      <c r="G9" s="69">
        <f t="shared" si="1"/>
        <v>11269.25</v>
      </c>
      <c r="H9" s="59"/>
      <c r="I9" s="59"/>
      <c r="J9" s="59"/>
      <c r="K9" s="59"/>
      <c r="L9" s="59"/>
      <c r="M9" s="59"/>
      <c r="N9" s="59"/>
      <c r="O9" s="59"/>
      <c r="P9" s="59"/>
    </row>
    <row r="10" spans="1:16" x14ac:dyDescent="0.3">
      <c r="A10" s="2" t="s">
        <v>8</v>
      </c>
      <c r="B10" s="10">
        <v>2257.25</v>
      </c>
      <c r="C10" s="10">
        <v>2248.6</v>
      </c>
      <c r="D10" s="10">
        <v>2278</v>
      </c>
      <c r="E10" s="13">
        <v>2205</v>
      </c>
      <c r="F10" s="15">
        <f t="shared" si="0"/>
        <v>3.8468380325536295E-3</v>
      </c>
      <c r="G10" s="69">
        <f t="shared" si="1"/>
        <v>11286.25</v>
      </c>
      <c r="H10" s="59"/>
      <c r="I10" s="59"/>
      <c r="J10" s="59"/>
      <c r="K10" s="59"/>
      <c r="L10" s="59"/>
      <c r="M10" s="59"/>
      <c r="N10" s="59"/>
      <c r="O10" s="59"/>
      <c r="P10" s="59"/>
    </row>
    <row r="11" spans="1:16" x14ac:dyDescent="0.3">
      <c r="A11" s="2" t="s">
        <v>9</v>
      </c>
      <c r="B11" s="10">
        <v>2229.6999999999998</v>
      </c>
      <c r="C11" s="10">
        <v>2231</v>
      </c>
      <c r="D11" s="10">
        <v>2249</v>
      </c>
      <c r="E11" s="13">
        <v>2219.5</v>
      </c>
      <c r="F11" s="16">
        <f t="shared" si="0"/>
        <v>-5.8269834155095558E-4</v>
      </c>
      <c r="G11" s="69">
        <f t="shared" si="1"/>
        <v>11148.5</v>
      </c>
      <c r="H11" s="59"/>
      <c r="I11" s="59"/>
      <c r="J11" s="59"/>
      <c r="K11" s="59"/>
      <c r="L11" s="59"/>
      <c r="M11" s="59"/>
      <c r="N11" s="59"/>
      <c r="O11" s="59"/>
      <c r="P11" s="59"/>
    </row>
    <row r="12" spans="1:16" x14ac:dyDescent="0.3">
      <c r="A12" s="2" t="s">
        <v>10</v>
      </c>
      <c r="B12" s="10">
        <v>2244</v>
      </c>
      <c r="C12" s="10">
        <v>2237</v>
      </c>
      <c r="D12" s="10">
        <v>2259</v>
      </c>
      <c r="E12" s="13">
        <v>2230.1</v>
      </c>
      <c r="F12" s="15">
        <f t="shared" si="0"/>
        <v>3.1291908806437194E-3</v>
      </c>
      <c r="G12" s="69">
        <f t="shared" si="1"/>
        <v>11220</v>
      </c>
      <c r="H12" s="59"/>
      <c r="I12" s="59"/>
      <c r="J12" s="59"/>
      <c r="K12" s="59"/>
      <c r="L12" s="59"/>
      <c r="M12" s="59"/>
      <c r="N12" s="59"/>
      <c r="O12" s="59"/>
      <c r="P12" s="59"/>
    </row>
    <row r="13" spans="1:16" x14ac:dyDescent="0.3">
      <c r="A13" s="2" t="s">
        <v>11</v>
      </c>
      <c r="B13" s="10">
        <v>2226.4499999999998</v>
      </c>
      <c r="C13" s="10">
        <v>2252.65</v>
      </c>
      <c r="D13" s="10">
        <v>2270</v>
      </c>
      <c r="E13" s="13">
        <v>2215</v>
      </c>
      <c r="F13" s="16">
        <f t="shared" si="0"/>
        <v>-1.1630746010254709E-2</v>
      </c>
      <c r="G13" s="69">
        <f t="shared" si="1"/>
        <v>11132.25</v>
      </c>
      <c r="H13" s="59"/>
      <c r="I13" s="59"/>
      <c r="J13" s="59"/>
      <c r="K13" s="59"/>
      <c r="L13" s="59"/>
      <c r="M13" s="59"/>
      <c r="N13" s="59"/>
      <c r="O13" s="59"/>
      <c r="P13" s="59"/>
    </row>
    <row r="14" spans="1:16" x14ac:dyDescent="0.3">
      <c r="A14" s="2" t="s">
        <v>12</v>
      </c>
      <c r="B14" s="10">
        <v>2175.8000000000002</v>
      </c>
      <c r="C14" s="10">
        <v>2226.4499999999998</v>
      </c>
      <c r="D14" s="10">
        <v>2230</v>
      </c>
      <c r="E14" s="10">
        <v>2170</v>
      </c>
      <c r="F14" s="16">
        <f t="shared" si="0"/>
        <v>-2.2749219609692398E-2</v>
      </c>
      <c r="G14" s="69">
        <f t="shared" si="1"/>
        <v>10879</v>
      </c>
      <c r="H14" s="59"/>
      <c r="I14" s="59"/>
      <c r="J14" s="59"/>
      <c r="K14" s="59"/>
      <c r="L14" s="59"/>
      <c r="M14" s="59"/>
      <c r="N14" s="59"/>
      <c r="O14" s="59"/>
      <c r="P14" s="59"/>
    </row>
    <row r="15" spans="1:16" x14ac:dyDescent="0.3">
      <c r="A15" s="2" t="s">
        <v>13</v>
      </c>
      <c r="B15" s="10">
        <v>2184.85</v>
      </c>
      <c r="C15" s="10">
        <v>2170</v>
      </c>
      <c r="D15" s="10">
        <v>2208.4</v>
      </c>
      <c r="E15" s="10">
        <v>2151.1</v>
      </c>
      <c r="F15" s="19">
        <f t="shared" si="0"/>
        <v>6.8433179723501889E-3</v>
      </c>
      <c r="G15" s="69">
        <f t="shared" si="1"/>
        <v>10924.25</v>
      </c>
      <c r="H15" s="59"/>
      <c r="I15" s="59"/>
      <c r="J15" s="59"/>
      <c r="K15" s="59"/>
      <c r="L15" s="59"/>
      <c r="M15" s="59"/>
      <c r="N15" s="59"/>
      <c r="O15" s="59"/>
      <c r="P15" s="59"/>
    </row>
    <row r="16" spans="1:16" x14ac:dyDescent="0.3">
      <c r="A16" s="2" t="s">
        <v>14</v>
      </c>
      <c r="B16" s="10">
        <v>2196.75</v>
      </c>
      <c r="C16" s="10">
        <v>2180</v>
      </c>
      <c r="D16" s="10">
        <v>2207.85</v>
      </c>
      <c r="E16" s="10">
        <v>2140.5500000000002</v>
      </c>
      <c r="F16" s="19">
        <f t="shared" si="0"/>
        <v>7.6834862385321105E-3</v>
      </c>
      <c r="G16" s="69">
        <f t="shared" si="1"/>
        <v>10983.75</v>
      </c>
      <c r="H16" s="59"/>
      <c r="I16" s="59"/>
      <c r="J16" s="59"/>
      <c r="K16" s="59"/>
      <c r="L16" s="59"/>
      <c r="M16" s="59"/>
      <c r="N16" s="59"/>
      <c r="O16" s="59"/>
      <c r="P16" s="59"/>
    </row>
    <row r="17" spans="1:16" x14ac:dyDescent="0.3">
      <c r="A17" s="2" t="s">
        <v>15</v>
      </c>
      <c r="B17" s="10">
        <v>2173.6999999999998</v>
      </c>
      <c r="C17" s="10">
        <v>2181.65</v>
      </c>
      <c r="D17" s="10">
        <v>2197.15</v>
      </c>
      <c r="E17" s="10">
        <v>2163.25</v>
      </c>
      <c r="F17" s="16">
        <f t="shared" si="0"/>
        <v>-3.6440308940482078E-3</v>
      </c>
      <c r="G17" s="69">
        <f t="shared" si="1"/>
        <v>10868.5</v>
      </c>
      <c r="H17" s="59"/>
      <c r="I17" s="59"/>
      <c r="J17" s="59"/>
      <c r="K17" s="59"/>
      <c r="L17" s="59"/>
      <c r="M17" s="59"/>
      <c r="N17" s="59"/>
      <c r="O17" s="59"/>
      <c r="P17" s="59"/>
    </row>
    <row r="18" spans="1:16" x14ac:dyDescent="0.3">
      <c r="A18" s="2" t="s">
        <v>16</v>
      </c>
      <c r="B18" s="10">
        <v>2210.1999999999998</v>
      </c>
      <c r="C18" s="10">
        <v>2202.85</v>
      </c>
      <c r="D18" s="10">
        <v>2241.85</v>
      </c>
      <c r="E18" s="10">
        <v>2171.6</v>
      </c>
      <c r="F18" s="19">
        <f t="shared" si="0"/>
        <v>3.3365866945093445E-3</v>
      </c>
      <c r="G18" s="69">
        <f t="shared" si="1"/>
        <v>11051</v>
      </c>
      <c r="H18" s="59"/>
      <c r="I18" s="59"/>
      <c r="J18" s="59"/>
      <c r="K18" s="59"/>
      <c r="L18" s="59"/>
      <c r="M18" s="59"/>
      <c r="N18" s="59"/>
      <c r="O18" s="59"/>
      <c r="P18" s="59"/>
    </row>
    <row r="19" spans="1:16" x14ac:dyDescent="0.3">
      <c r="A19" s="2" t="s">
        <v>73</v>
      </c>
      <c r="B19" s="10">
        <v>2263.15</v>
      </c>
      <c r="C19" s="10">
        <v>2280</v>
      </c>
      <c r="D19" s="10">
        <v>2296.5</v>
      </c>
      <c r="E19" s="10">
        <v>2235.5</v>
      </c>
      <c r="F19" s="16">
        <f t="shared" si="0"/>
        <v>-7.3903508771929428E-3</v>
      </c>
      <c r="G19" s="69">
        <f t="shared" si="1"/>
        <v>11315.75</v>
      </c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">
      <c r="A20" s="2" t="s">
        <v>74</v>
      </c>
      <c r="B20" s="10">
        <v>2153.1999999999998</v>
      </c>
      <c r="C20" s="10">
        <v>2260</v>
      </c>
      <c r="D20" s="10">
        <v>2260</v>
      </c>
      <c r="E20" s="10">
        <v>1889.85</v>
      </c>
      <c r="F20" s="16">
        <f t="shared" si="0"/>
        <v>-4.7256637168141671E-2</v>
      </c>
      <c r="G20" s="69">
        <f t="shared" si="1"/>
        <v>10766</v>
      </c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">
      <c r="A21" s="2" t="s">
        <v>75</v>
      </c>
      <c r="B21" s="10">
        <v>2161.8000000000002</v>
      </c>
      <c r="C21" s="10">
        <v>2146.0500000000002</v>
      </c>
      <c r="D21" s="10">
        <v>2172.1</v>
      </c>
      <c r="E21" s="10">
        <v>2028.4</v>
      </c>
      <c r="F21" s="19">
        <f t="shared" si="0"/>
        <v>7.3390647934577476E-3</v>
      </c>
      <c r="G21" s="69">
        <f t="shared" si="1"/>
        <v>10809</v>
      </c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">
      <c r="A22" s="2" t="s">
        <v>76</v>
      </c>
      <c r="B22" s="10">
        <v>2295.6</v>
      </c>
      <c r="C22" s="10">
        <v>2218.6</v>
      </c>
      <c r="D22" s="10">
        <v>2320</v>
      </c>
      <c r="E22" s="10">
        <v>2205.0500000000002</v>
      </c>
      <c r="F22" s="19">
        <f t="shared" si="0"/>
        <v>3.4706571711890385E-2</v>
      </c>
      <c r="G22" s="69">
        <f t="shared" si="1"/>
        <v>11478</v>
      </c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">
      <c r="A23" s="2" t="s">
        <v>77</v>
      </c>
      <c r="B23" s="10">
        <v>2471.65</v>
      </c>
      <c r="C23" s="10">
        <v>2320</v>
      </c>
      <c r="D23" s="10">
        <v>2498.65</v>
      </c>
      <c r="E23" s="10">
        <v>2310</v>
      </c>
      <c r="F23" s="19">
        <f t="shared" si="0"/>
        <v>6.5366379310344863E-2</v>
      </c>
      <c r="G23" s="69">
        <f t="shared" si="1"/>
        <v>12358.25</v>
      </c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">
      <c r="A24" s="2" t="s">
        <v>78</v>
      </c>
      <c r="B24" s="10">
        <v>2555.9</v>
      </c>
      <c r="C24" s="10">
        <v>2520</v>
      </c>
      <c r="D24" s="10">
        <v>2685</v>
      </c>
      <c r="E24" s="10">
        <v>2510</v>
      </c>
      <c r="F24" s="19">
        <f t="shared" si="0"/>
        <v>1.4246031746031783E-2</v>
      </c>
      <c r="G24" s="69">
        <f t="shared" si="1"/>
        <v>12779.5</v>
      </c>
    </row>
    <row r="25" spans="1:16" ht="25" thickBot="1" x14ac:dyDescent="0.35"/>
    <row r="26" spans="1:16" x14ac:dyDescent="0.3">
      <c r="A26" s="96" t="s">
        <v>83</v>
      </c>
      <c r="B26" s="97"/>
      <c r="C26" s="21">
        <f>B4</f>
        <v>2149.9499999999998</v>
      </c>
      <c r="D26" s="22"/>
    </row>
    <row r="27" spans="1:16" x14ac:dyDescent="0.3">
      <c r="A27" s="98" t="s">
        <v>82</v>
      </c>
      <c r="B27" s="99"/>
      <c r="C27" s="23">
        <f>B24</f>
        <v>2555.9</v>
      </c>
      <c r="D27" s="24"/>
    </row>
    <row r="28" spans="1:16" x14ac:dyDescent="0.3">
      <c r="A28" s="98" t="s">
        <v>84</v>
      </c>
      <c r="B28" s="99"/>
      <c r="C28" s="1">
        <v>5</v>
      </c>
      <c r="D28" s="24"/>
    </row>
    <row r="29" spans="1:16" x14ac:dyDescent="0.3">
      <c r="A29" s="25" t="s">
        <v>86</v>
      </c>
      <c r="D29" s="24">
        <f>C28*C26</f>
        <v>10749.75</v>
      </c>
    </row>
    <row r="30" spans="1:16" x14ac:dyDescent="0.3">
      <c r="A30" s="91" t="s">
        <v>85</v>
      </c>
      <c r="B30" s="92"/>
      <c r="C30" s="92"/>
      <c r="D30" s="24">
        <f>C28*C27</f>
        <v>12779.5</v>
      </c>
    </row>
    <row r="31" spans="1:16" ht="25" thickBot="1" x14ac:dyDescent="0.35">
      <c r="A31" s="93" t="s">
        <v>87</v>
      </c>
      <c r="B31" s="94"/>
      <c r="C31" s="94"/>
      <c r="D31" s="26">
        <f>D30-D29</f>
        <v>2029.75</v>
      </c>
    </row>
    <row r="33" spans="4:4" x14ac:dyDescent="0.3">
      <c r="D33" s="1">
        <f>D31/D29*100</f>
        <v>18.881834461266543</v>
      </c>
    </row>
  </sheetData>
  <mergeCells count="8">
    <mergeCell ref="A27:B27"/>
    <mergeCell ref="A28:B28"/>
    <mergeCell ref="A30:C30"/>
    <mergeCell ref="A31:C31"/>
    <mergeCell ref="L1:P1"/>
    <mergeCell ref="A1:F1"/>
    <mergeCell ref="A2:F2"/>
    <mergeCell ref="A26:B26"/>
  </mergeCells>
  <phoneticPr fontId="2" type="noConversion"/>
  <pageMargins left="0.7" right="0.7" top="0.75" bottom="0.75" header="0.3" footer="0.3"/>
  <pageSetup paperSize="9" scale="66" orientation="portrait" horizontalDpi="0" verticalDpi="0"/>
  <colBreaks count="2" manualBreakCount="2">
    <brk id="6" max="41" man="1"/>
    <brk id="14" max="41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92EA8-0FCA-B24D-AFDA-4E49976A26CD}">
  <dimension ref="A1:Q33"/>
  <sheetViews>
    <sheetView tabSelected="1" zoomScaleNormal="100" zoomScaleSheetLayoutView="100" workbookViewId="0">
      <selection activeCell="D34" sqref="D34"/>
    </sheetView>
  </sheetViews>
  <sheetFormatPr baseColWidth="10" defaultRowHeight="24" x14ac:dyDescent="0.3"/>
  <cols>
    <col min="1" max="1" width="12.83203125" style="1" bestFit="1" customWidth="1"/>
    <col min="2" max="2" width="20.1640625" style="1" customWidth="1"/>
    <col min="3" max="3" width="14.1640625" style="1" customWidth="1"/>
    <col min="4" max="4" width="13.1640625" style="1" customWidth="1"/>
    <col min="5" max="5" width="21.1640625" style="1" customWidth="1"/>
    <col min="6" max="6" width="13.5" style="17" customWidth="1"/>
    <col min="7" max="7" width="22.6640625" style="1" bestFit="1" customWidth="1"/>
    <col min="8" max="8" width="15.6640625" style="1" customWidth="1"/>
    <col min="9" max="9" width="19.5" style="1" customWidth="1"/>
    <col min="10" max="10" width="17.33203125" style="1" bestFit="1" customWidth="1"/>
    <col min="11" max="11" width="10.83203125" style="1"/>
    <col min="12" max="12" width="12.83203125" style="1" bestFit="1" customWidth="1"/>
    <col min="13" max="13" width="19" style="1" bestFit="1" customWidth="1"/>
    <col min="14" max="16384" width="10.83203125" style="1"/>
  </cols>
  <sheetData>
    <row r="1" spans="1:17" x14ac:dyDescent="0.3">
      <c r="A1" s="75" t="s">
        <v>90</v>
      </c>
      <c r="B1" s="76"/>
      <c r="C1" s="76"/>
      <c r="D1" s="76"/>
      <c r="E1" s="76"/>
      <c r="F1" s="77"/>
      <c r="G1" s="58"/>
      <c r="H1" s="58"/>
      <c r="I1" s="58"/>
      <c r="J1" s="58"/>
      <c r="K1" s="59"/>
      <c r="L1" s="95"/>
      <c r="M1" s="95"/>
      <c r="N1" s="95"/>
      <c r="O1" s="95"/>
      <c r="P1" s="95"/>
      <c r="Q1" s="2"/>
    </row>
    <row r="2" spans="1:17" x14ac:dyDescent="0.3">
      <c r="A2" s="75" t="s">
        <v>67</v>
      </c>
      <c r="B2" s="76"/>
      <c r="C2" s="76"/>
      <c r="D2" s="76"/>
      <c r="E2" s="76"/>
      <c r="F2" s="77"/>
      <c r="G2" s="66"/>
      <c r="H2" s="66"/>
      <c r="I2" s="66"/>
      <c r="J2" s="66"/>
      <c r="K2" s="59"/>
      <c r="L2" s="66"/>
      <c r="M2" s="66"/>
      <c r="N2" s="66"/>
      <c r="O2" s="66"/>
      <c r="P2" s="66"/>
      <c r="Q2" s="2"/>
    </row>
    <row r="3" spans="1:17" x14ac:dyDescent="0.3">
      <c r="A3" s="6" t="s">
        <v>0</v>
      </c>
      <c r="B3" s="6" t="s">
        <v>2</v>
      </c>
      <c r="C3" s="6" t="s">
        <v>71</v>
      </c>
      <c r="D3" s="6" t="s">
        <v>1</v>
      </c>
      <c r="E3" s="6" t="s">
        <v>72</v>
      </c>
      <c r="F3" s="18" t="s">
        <v>79</v>
      </c>
      <c r="G3" s="58" t="s">
        <v>99</v>
      </c>
      <c r="H3" s="58"/>
      <c r="I3" s="58"/>
      <c r="J3" s="58"/>
      <c r="K3" s="59"/>
      <c r="L3" s="58"/>
      <c r="M3" s="58"/>
      <c r="N3" s="58"/>
      <c r="O3" s="58"/>
      <c r="P3" s="58"/>
      <c r="Q3" s="2"/>
    </row>
    <row r="4" spans="1:17" x14ac:dyDescent="0.3">
      <c r="A4" s="2" t="s">
        <v>70</v>
      </c>
      <c r="B4" s="10">
        <v>1651.15</v>
      </c>
      <c r="C4" s="10">
        <v>1591</v>
      </c>
      <c r="D4" s="10">
        <v>1675</v>
      </c>
      <c r="E4" s="10">
        <v>1591</v>
      </c>
      <c r="F4" s="15">
        <f>(B4-C4)/C4</f>
        <v>3.780641106222507E-2</v>
      </c>
      <c r="G4" s="59">
        <f>10*B4</f>
        <v>16511.5</v>
      </c>
      <c r="H4" s="59"/>
      <c r="I4" s="59"/>
      <c r="J4" s="59"/>
      <c r="K4" s="59"/>
      <c r="L4" s="59"/>
      <c r="M4" s="59"/>
      <c r="N4" s="59"/>
      <c r="O4" s="59"/>
      <c r="P4" s="59"/>
      <c r="Q4" s="2"/>
    </row>
    <row r="5" spans="1:17" x14ac:dyDescent="0.3">
      <c r="A5" s="2" t="s">
        <v>3</v>
      </c>
      <c r="B5" s="10">
        <v>1669.5</v>
      </c>
      <c r="C5" s="10">
        <v>1669</v>
      </c>
      <c r="D5" s="10">
        <v>1730</v>
      </c>
      <c r="E5" s="10">
        <v>1635.95</v>
      </c>
      <c r="F5" s="15">
        <f>(B5-C5)/C5</f>
        <v>2.9958058717795088E-4</v>
      </c>
      <c r="G5" s="59">
        <f t="shared" ref="G5:G24" si="0">10*B5</f>
        <v>16695</v>
      </c>
      <c r="H5" s="59"/>
      <c r="I5" s="59"/>
      <c r="J5" s="59"/>
      <c r="K5" s="59"/>
      <c r="L5" s="59"/>
      <c r="M5" s="59"/>
      <c r="N5" s="59"/>
      <c r="O5" s="59"/>
      <c r="P5" s="59"/>
      <c r="Q5" s="2"/>
    </row>
    <row r="6" spans="1:17" x14ac:dyDescent="0.3">
      <c r="A6" s="2" t="s">
        <v>4</v>
      </c>
      <c r="B6" s="10">
        <v>1693.35</v>
      </c>
      <c r="C6" s="10">
        <v>1650.05</v>
      </c>
      <c r="D6" s="10">
        <v>1711.95</v>
      </c>
      <c r="E6" s="10">
        <v>1650.05</v>
      </c>
      <c r="F6" s="15">
        <f t="shared" ref="F6:F9" si="1">(B6-C6)/C6</f>
        <v>2.624162904154417E-2</v>
      </c>
      <c r="G6" s="59">
        <f t="shared" si="0"/>
        <v>16933.5</v>
      </c>
      <c r="H6" s="59"/>
      <c r="I6" s="59"/>
      <c r="J6" s="59"/>
      <c r="K6" s="59"/>
      <c r="L6" s="59"/>
      <c r="M6" s="59"/>
      <c r="N6" s="59"/>
      <c r="O6" s="59"/>
      <c r="P6" s="59"/>
      <c r="Q6" s="2"/>
    </row>
    <row r="7" spans="1:17" x14ac:dyDescent="0.3">
      <c r="A7" s="2" t="s">
        <v>5</v>
      </c>
      <c r="B7" s="10">
        <v>1718</v>
      </c>
      <c r="C7" s="10">
        <v>1740</v>
      </c>
      <c r="D7" s="10">
        <v>1740</v>
      </c>
      <c r="E7" s="10">
        <v>1687.4</v>
      </c>
      <c r="F7" s="16">
        <f t="shared" si="1"/>
        <v>-1.264367816091954E-2</v>
      </c>
      <c r="G7" s="59">
        <f t="shared" si="0"/>
        <v>17180</v>
      </c>
      <c r="H7" s="59"/>
      <c r="I7" s="59"/>
      <c r="J7" s="59"/>
      <c r="K7" s="59"/>
      <c r="L7" s="59"/>
      <c r="M7" s="59"/>
      <c r="N7" s="59"/>
      <c r="O7" s="59"/>
      <c r="P7" s="59"/>
      <c r="Q7" s="2"/>
    </row>
    <row r="8" spans="1:17" x14ac:dyDescent="0.3">
      <c r="A8" s="2" t="s">
        <v>6</v>
      </c>
      <c r="B8" s="10">
        <v>1858</v>
      </c>
      <c r="C8" s="10">
        <v>1730</v>
      </c>
      <c r="D8" s="10">
        <v>1875</v>
      </c>
      <c r="E8" s="10">
        <v>1718</v>
      </c>
      <c r="F8" s="15">
        <f t="shared" si="1"/>
        <v>7.3988439306358386E-2</v>
      </c>
      <c r="G8" s="59">
        <f t="shared" si="0"/>
        <v>18580</v>
      </c>
      <c r="H8" s="59"/>
      <c r="I8" s="59"/>
      <c r="J8" s="59"/>
      <c r="K8" s="59"/>
      <c r="L8" s="59"/>
      <c r="M8" s="59"/>
      <c r="N8" s="59"/>
      <c r="O8" s="59"/>
      <c r="P8" s="59"/>
      <c r="Q8" s="2"/>
    </row>
    <row r="9" spans="1:17" x14ac:dyDescent="0.3">
      <c r="A9" s="2" t="s">
        <v>7</v>
      </c>
      <c r="B9" s="10">
        <v>1815.05</v>
      </c>
      <c r="C9" s="10">
        <v>1870</v>
      </c>
      <c r="D9" s="10">
        <v>1874</v>
      </c>
      <c r="E9" s="10">
        <v>1809.1</v>
      </c>
      <c r="F9" s="16">
        <f t="shared" si="1"/>
        <v>-2.9385026737967938E-2</v>
      </c>
      <c r="G9" s="59">
        <f t="shared" si="0"/>
        <v>18150.5</v>
      </c>
      <c r="H9" s="59"/>
      <c r="I9" s="59"/>
      <c r="J9" s="59"/>
      <c r="K9" s="59"/>
      <c r="L9" s="59"/>
      <c r="M9" s="59"/>
      <c r="N9" s="59"/>
      <c r="O9" s="59"/>
      <c r="P9" s="59"/>
      <c r="Q9" s="2"/>
    </row>
    <row r="10" spans="1:17" x14ac:dyDescent="0.3">
      <c r="A10" s="2" t="s">
        <v>8</v>
      </c>
      <c r="B10" s="10">
        <v>1760</v>
      </c>
      <c r="C10" s="10">
        <v>1804.85</v>
      </c>
      <c r="D10" s="10">
        <v>1818.45</v>
      </c>
      <c r="E10" s="10">
        <v>1760</v>
      </c>
      <c r="F10" s="16">
        <f>(B10-C10)/C10</f>
        <v>-2.4849710502257757E-2</v>
      </c>
      <c r="G10" s="59">
        <f t="shared" si="0"/>
        <v>17600</v>
      </c>
      <c r="H10" s="59"/>
      <c r="I10" s="59"/>
      <c r="J10" s="59"/>
      <c r="K10" s="59"/>
      <c r="L10" s="59"/>
      <c r="M10" s="59"/>
      <c r="N10" s="59"/>
      <c r="O10" s="59"/>
      <c r="P10" s="59"/>
      <c r="Q10" s="2"/>
    </row>
    <row r="11" spans="1:17" x14ac:dyDescent="0.3">
      <c r="A11" s="2" t="s">
        <v>9</v>
      </c>
      <c r="B11" s="10">
        <v>1806.7</v>
      </c>
      <c r="C11" s="10">
        <v>1762</v>
      </c>
      <c r="D11" s="10">
        <v>1833</v>
      </c>
      <c r="E11" s="10">
        <v>1713.65</v>
      </c>
      <c r="F11" s="15">
        <f t="shared" ref="F11:F13" si="2">(B11-C11)/C11</f>
        <v>2.5368898978433623E-2</v>
      </c>
      <c r="G11" s="59">
        <f t="shared" si="0"/>
        <v>18067</v>
      </c>
      <c r="H11" s="59"/>
      <c r="I11" s="59"/>
      <c r="J11" s="59"/>
      <c r="K11" s="59"/>
      <c r="L11" s="59"/>
      <c r="M11" s="59"/>
      <c r="N11" s="59"/>
      <c r="O11" s="59"/>
      <c r="P11" s="59"/>
      <c r="Q11" s="2"/>
    </row>
    <row r="12" spans="1:17" x14ac:dyDescent="0.3">
      <c r="A12" s="2" t="s">
        <v>10</v>
      </c>
      <c r="B12" s="10">
        <v>1869.45</v>
      </c>
      <c r="C12" s="10">
        <v>1820</v>
      </c>
      <c r="D12" s="10">
        <v>1885.5</v>
      </c>
      <c r="E12" s="10">
        <v>1765.5</v>
      </c>
      <c r="F12" s="15">
        <f t="shared" si="2"/>
        <v>2.7170329670329695E-2</v>
      </c>
      <c r="G12" s="59">
        <f t="shared" si="0"/>
        <v>18694.5</v>
      </c>
      <c r="H12" s="59"/>
      <c r="I12" s="59"/>
      <c r="J12" s="59"/>
      <c r="K12" s="59"/>
      <c r="L12" s="59"/>
      <c r="M12" s="59"/>
      <c r="N12" s="59"/>
      <c r="O12" s="59"/>
      <c r="P12" s="59"/>
      <c r="Q12" s="2"/>
    </row>
    <row r="13" spans="1:17" x14ac:dyDescent="0.3">
      <c r="A13" s="2" t="s">
        <v>11</v>
      </c>
      <c r="B13" s="10">
        <v>1873.7</v>
      </c>
      <c r="C13" s="10">
        <v>1878.8</v>
      </c>
      <c r="D13" s="10">
        <v>1890</v>
      </c>
      <c r="E13" s="10">
        <v>1830</v>
      </c>
      <c r="F13" s="16">
        <f t="shared" si="2"/>
        <v>-2.714498616137912E-3</v>
      </c>
      <c r="G13" s="59">
        <f t="shared" si="0"/>
        <v>18737</v>
      </c>
      <c r="H13" s="59"/>
      <c r="I13" s="59"/>
      <c r="J13" s="59"/>
      <c r="K13" s="59"/>
      <c r="L13" s="59"/>
      <c r="M13" s="59"/>
      <c r="N13" s="59"/>
      <c r="O13" s="59"/>
      <c r="P13" s="59"/>
      <c r="Q13" s="2"/>
    </row>
    <row r="14" spans="1:17" x14ac:dyDescent="0.3">
      <c r="A14" s="2" t="s">
        <v>12</v>
      </c>
      <c r="B14" s="10">
        <v>1861.3</v>
      </c>
      <c r="C14" s="10">
        <v>1882</v>
      </c>
      <c r="D14" s="10">
        <v>1882</v>
      </c>
      <c r="E14" s="10">
        <v>1807.15</v>
      </c>
      <c r="F14" s="16">
        <f t="shared" ref="F14:F18" si="3">(B14-C14)/C14</f>
        <v>-1.0998937300743914E-2</v>
      </c>
      <c r="G14" s="59">
        <f t="shared" si="0"/>
        <v>18613</v>
      </c>
      <c r="H14" s="59"/>
      <c r="I14" s="59"/>
      <c r="J14" s="59"/>
      <c r="K14" s="59"/>
      <c r="L14" s="59"/>
      <c r="M14" s="59"/>
      <c r="N14" s="59"/>
      <c r="O14" s="59"/>
      <c r="P14" s="59"/>
      <c r="Q14" s="2"/>
    </row>
    <row r="15" spans="1:17" x14ac:dyDescent="0.3">
      <c r="A15" s="2" t="s">
        <v>13</v>
      </c>
      <c r="B15" s="10">
        <v>1780.15</v>
      </c>
      <c r="C15" s="10">
        <v>1865</v>
      </c>
      <c r="D15" s="10">
        <v>1875.95</v>
      </c>
      <c r="E15" s="10">
        <v>1765.6</v>
      </c>
      <c r="F15" s="16">
        <f t="shared" si="3"/>
        <v>-4.5495978552278771E-2</v>
      </c>
      <c r="G15" s="59">
        <f t="shared" si="0"/>
        <v>17801.5</v>
      </c>
      <c r="H15" s="59"/>
      <c r="I15" s="59"/>
      <c r="J15" s="59"/>
      <c r="K15" s="59"/>
      <c r="L15" s="59"/>
      <c r="M15" s="59"/>
      <c r="N15" s="59"/>
      <c r="O15" s="59"/>
      <c r="P15" s="59"/>
      <c r="Q15" s="2"/>
    </row>
    <row r="16" spans="1:17" x14ac:dyDescent="0.3">
      <c r="A16" s="2" t="s">
        <v>14</v>
      </c>
      <c r="B16" s="10">
        <v>1768.35</v>
      </c>
      <c r="C16" s="10">
        <v>1779.25</v>
      </c>
      <c r="D16" s="10">
        <v>1785.35</v>
      </c>
      <c r="E16" s="10">
        <v>1741</v>
      </c>
      <c r="F16" s="16">
        <f t="shared" si="3"/>
        <v>-6.1261767598707832E-3</v>
      </c>
      <c r="G16" s="59">
        <f t="shared" si="0"/>
        <v>17683.5</v>
      </c>
      <c r="H16" s="59"/>
      <c r="I16" s="59"/>
      <c r="J16" s="59"/>
      <c r="K16" s="59"/>
      <c r="L16" s="59"/>
      <c r="M16" s="59"/>
      <c r="N16" s="59"/>
      <c r="O16" s="59"/>
      <c r="P16" s="59"/>
      <c r="Q16" s="2"/>
    </row>
    <row r="17" spans="1:17" x14ac:dyDescent="0.3">
      <c r="A17" s="2" t="s">
        <v>15</v>
      </c>
      <c r="B17" s="10">
        <v>1764.35</v>
      </c>
      <c r="C17" s="10">
        <v>1765</v>
      </c>
      <c r="D17" s="10">
        <v>1820</v>
      </c>
      <c r="E17" s="10">
        <v>1752.05</v>
      </c>
      <c r="F17" s="15">
        <f t="shared" si="3"/>
        <v>-3.6827195467427251E-4</v>
      </c>
      <c r="G17" s="59">
        <f t="shared" si="0"/>
        <v>17643.5</v>
      </c>
      <c r="H17" s="59"/>
      <c r="I17" s="59"/>
      <c r="J17" s="59"/>
      <c r="K17" s="59"/>
      <c r="L17" s="59"/>
      <c r="M17" s="59"/>
      <c r="N17" s="59"/>
      <c r="O17" s="59"/>
      <c r="P17" s="59"/>
      <c r="Q17" s="2"/>
    </row>
    <row r="18" spans="1:17" x14ac:dyDescent="0.3">
      <c r="A18" s="2" t="s">
        <v>16</v>
      </c>
      <c r="B18" s="10">
        <v>1770.5</v>
      </c>
      <c r="C18" s="10">
        <v>1764.8</v>
      </c>
      <c r="D18" s="10">
        <v>1799.7</v>
      </c>
      <c r="E18" s="10">
        <v>1738.85</v>
      </c>
      <c r="F18" s="15">
        <f t="shared" si="3"/>
        <v>3.2298277425204247E-3</v>
      </c>
      <c r="G18" s="59">
        <f t="shared" si="0"/>
        <v>17705</v>
      </c>
      <c r="H18" s="59"/>
      <c r="I18" s="59"/>
      <c r="J18" s="59"/>
      <c r="K18" s="59"/>
      <c r="L18" s="59"/>
      <c r="M18" s="59"/>
      <c r="N18" s="59"/>
      <c r="O18" s="59"/>
      <c r="P18" s="59"/>
      <c r="Q18" s="2"/>
    </row>
    <row r="19" spans="1:17" x14ac:dyDescent="0.3">
      <c r="A19" s="2" t="s">
        <v>73</v>
      </c>
      <c r="B19" s="10">
        <v>1790.05</v>
      </c>
      <c r="C19" s="10">
        <v>1785</v>
      </c>
      <c r="D19" s="10">
        <v>1818</v>
      </c>
      <c r="E19" s="10">
        <v>1751.45</v>
      </c>
      <c r="F19" s="15">
        <f t="shared" ref="F19:F23" si="4">(B19-C19)/C19</f>
        <v>2.8291316526610388E-3</v>
      </c>
      <c r="G19" s="59">
        <f t="shared" si="0"/>
        <v>17900.5</v>
      </c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3">
      <c r="A20" s="2" t="s">
        <v>74</v>
      </c>
      <c r="B20" s="10">
        <v>1691.5</v>
      </c>
      <c r="C20" s="10">
        <v>1786.3</v>
      </c>
      <c r="D20" s="10">
        <v>1786.3</v>
      </c>
      <c r="E20" s="10">
        <v>1524.1</v>
      </c>
      <c r="F20" s="16">
        <f t="shared" si="4"/>
        <v>-5.3070592845546639E-2</v>
      </c>
      <c r="G20" s="59">
        <f t="shared" si="0"/>
        <v>16915</v>
      </c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3">
      <c r="A21" s="2" t="s">
        <v>75</v>
      </c>
      <c r="B21" s="10">
        <v>1757.15</v>
      </c>
      <c r="C21" s="10">
        <v>1708</v>
      </c>
      <c r="D21" s="10">
        <v>1785</v>
      </c>
      <c r="E21" s="10">
        <v>1605.65</v>
      </c>
      <c r="F21" s="15">
        <f t="shared" si="4"/>
        <v>2.8776346604215509E-2</v>
      </c>
      <c r="G21" s="59">
        <f t="shared" si="0"/>
        <v>17571.5</v>
      </c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3">
      <c r="A22" s="2" t="s">
        <v>76</v>
      </c>
      <c r="B22" s="10">
        <v>1836.8</v>
      </c>
      <c r="C22" s="10">
        <v>1757.15</v>
      </c>
      <c r="D22" s="10">
        <v>1869.8</v>
      </c>
      <c r="E22" s="10">
        <v>1757.15</v>
      </c>
      <c r="F22" s="15">
        <f t="shared" si="4"/>
        <v>4.5329084028113628E-2</v>
      </c>
      <c r="G22" s="59">
        <f t="shared" si="0"/>
        <v>18368</v>
      </c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3">
      <c r="A23" s="2" t="s">
        <v>77</v>
      </c>
      <c r="B23" s="10">
        <v>1942.1</v>
      </c>
      <c r="C23" s="10">
        <v>1840</v>
      </c>
      <c r="D23" s="10">
        <v>1972</v>
      </c>
      <c r="E23" s="10">
        <v>1809.95</v>
      </c>
      <c r="F23" s="15">
        <f t="shared" si="4"/>
        <v>5.5489130434782562E-2</v>
      </c>
      <c r="G23" s="59">
        <f t="shared" si="0"/>
        <v>19421</v>
      </c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3">
      <c r="A24" s="2" t="s">
        <v>78</v>
      </c>
      <c r="B24" s="10">
        <v>1910.55</v>
      </c>
      <c r="C24" s="10">
        <v>1935</v>
      </c>
      <c r="D24" s="10">
        <v>2011</v>
      </c>
      <c r="E24" s="10">
        <v>1890.75</v>
      </c>
      <c r="F24" s="16">
        <f t="shared" ref="F24" si="5">(B24-C24)/C24</f>
        <v>-1.2635658914728705E-2</v>
      </c>
      <c r="G24" s="59">
        <f t="shared" si="0"/>
        <v>19105.5</v>
      </c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25" thickBot="1" x14ac:dyDescent="0.35"/>
    <row r="26" spans="1:17" x14ac:dyDescent="0.3">
      <c r="A26" s="96" t="s">
        <v>83</v>
      </c>
      <c r="B26" s="97"/>
      <c r="C26" s="21">
        <f>B4</f>
        <v>1651.15</v>
      </c>
      <c r="D26" s="22"/>
    </row>
    <row r="27" spans="1:17" x14ac:dyDescent="0.3">
      <c r="A27" s="98" t="s">
        <v>82</v>
      </c>
      <c r="B27" s="99"/>
      <c r="C27" s="23">
        <f>B24</f>
        <v>1910.55</v>
      </c>
      <c r="D27" s="24"/>
    </row>
    <row r="28" spans="1:17" x14ac:dyDescent="0.3">
      <c r="A28" s="98" t="s">
        <v>84</v>
      </c>
      <c r="B28" s="99"/>
      <c r="C28" s="1">
        <v>10</v>
      </c>
      <c r="D28" s="24"/>
    </row>
    <row r="29" spans="1:17" x14ac:dyDescent="0.3">
      <c r="A29" s="25" t="s">
        <v>86</v>
      </c>
      <c r="D29" s="24">
        <f>C28*C26</f>
        <v>16511.5</v>
      </c>
    </row>
    <row r="30" spans="1:17" x14ac:dyDescent="0.3">
      <c r="A30" s="91" t="s">
        <v>85</v>
      </c>
      <c r="B30" s="92"/>
      <c r="C30" s="92"/>
      <c r="D30" s="24">
        <f>C28*C27</f>
        <v>19105.5</v>
      </c>
    </row>
    <row r="31" spans="1:17" ht="25" thickBot="1" x14ac:dyDescent="0.35">
      <c r="A31" s="93" t="s">
        <v>87</v>
      </c>
      <c r="B31" s="94"/>
      <c r="C31" s="94"/>
      <c r="D31" s="26">
        <f>D30-D29</f>
        <v>2594</v>
      </c>
    </row>
    <row r="33" spans="4:4" x14ac:dyDescent="0.3">
      <c r="D33" s="1">
        <f>(D31/D29)*100</f>
        <v>15.710262544287316</v>
      </c>
    </row>
  </sheetData>
  <mergeCells count="8">
    <mergeCell ref="A30:C30"/>
    <mergeCell ref="A31:C31"/>
    <mergeCell ref="A1:F1"/>
    <mergeCell ref="L1:P1"/>
    <mergeCell ref="A2:F2"/>
    <mergeCell ref="A26:B26"/>
    <mergeCell ref="A27:B27"/>
    <mergeCell ref="A28:B28"/>
  </mergeCells>
  <pageMargins left="0.7" right="0.7" top="0.75" bottom="0.75" header="0.3" footer="0.3"/>
  <pageSetup paperSize="9" scale="56" orientation="portrait" horizontalDpi="0" verticalDpi="0"/>
  <colBreaks count="1" manualBreakCount="1">
    <brk id="6" max="41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5AB4-5D1E-714C-A516-E94B69678B48}">
  <dimension ref="A1:L26"/>
  <sheetViews>
    <sheetView topLeftCell="A6" zoomScale="97" zoomScaleNormal="97" zoomScaleSheetLayoutView="125" workbookViewId="0">
      <selection activeCell="L26" sqref="L26"/>
    </sheetView>
  </sheetViews>
  <sheetFormatPr baseColWidth="10" defaultRowHeight="27" x14ac:dyDescent="0.35"/>
  <cols>
    <col min="1" max="1" width="12.83203125" style="20" bestFit="1" customWidth="1"/>
    <col min="2" max="2" width="14.6640625" style="20" customWidth="1"/>
    <col min="3" max="3" width="14.6640625" style="20" hidden="1" customWidth="1"/>
    <col min="4" max="4" width="14.6640625" style="20" customWidth="1"/>
    <col min="5" max="5" width="14.6640625" style="20" hidden="1" customWidth="1"/>
    <col min="6" max="6" width="17.6640625" style="20" customWidth="1"/>
    <col min="7" max="7" width="17.6640625" style="20" hidden="1" customWidth="1"/>
    <col min="8" max="8" width="14" style="20" customWidth="1"/>
    <col min="9" max="9" width="14" style="20" hidden="1" customWidth="1"/>
    <col min="10" max="10" width="11.6640625" style="20" bestFit="1" customWidth="1"/>
    <col min="11" max="11" width="20.1640625" style="20" hidden="1" customWidth="1"/>
    <col min="12" max="12" width="31.5" style="20" customWidth="1"/>
    <col min="13" max="16384" width="10.83203125" style="20"/>
  </cols>
  <sheetData>
    <row r="1" spans="1:12" x14ac:dyDescent="0.35">
      <c r="A1" s="8" t="s">
        <v>0</v>
      </c>
      <c r="B1" s="8" t="s">
        <v>88</v>
      </c>
      <c r="C1" s="47" t="s">
        <v>79</v>
      </c>
      <c r="D1" s="8" t="s">
        <v>26</v>
      </c>
      <c r="E1" s="47" t="s">
        <v>79</v>
      </c>
      <c r="F1" s="8" t="s">
        <v>89</v>
      </c>
      <c r="G1" s="47" t="s">
        <v>79</v>
      </c>
      <c r="H1" s="8" t="s">
        <v>32</v>
      </c>
      <c r="I1" s="47" t="s">
        <v>80</v>
      </c>
      <c r="J1" s="8" t="s">
        <v>48</v>
      </c>
      <c r="K1" s="49" t="s">
        <v>79</v>
      </c>
      <c r="L1" s="20" t="s">
        <v>101</v>
      </c>
    </row>
    <row r="2" spans="1:12" x14ac:dyDescent="0.35">
      <c r="A2" s="9" t="s">
        <v>70</v>
      </c>
      <c r="B2" s="10">
        <v>10239.5</v>
      </c>
      <c r="C2" s="17">
        <v>2.10400358976916E-2</v>
      </c>
      <c r="D2" s="10">
        <v>9345</v>
      </c>
      <c r="E2" s="48">
        <v>6.4957264957264962E-2</v>
      </c>
      <c r="F2" s="10">
        <v>9340</v>
      </c>
      <c r="G2" s="17">
        <v>2.1021677580156679E-2</v>
      </c>
      <c r="H2" s="10">
        <v>10749.75</v>
      </c>
      <c r="I2" s="17">
        <v>3.115107913669056E-2</v>
      </c>
      <c r="J2" s="10">
        <v>16511.5</v>
      </c>
      <c r="K2" s="50">
        <v>3.780641106222507E-2</v>
      </c>
      <c r="L2" s="70">
        <f>SUM(B2:J2)</f>
        <v>56185.888170057573</v>
      </c>
    </row>
    <row r="3" spans="1:12" x14ac:dyDescent="0.35">
      <c r="A3" s="2" t="s">
        <v>3</v>
      </c>
      <c r="B3" s="10">
        <v>10331.5</v>
      </c>
      <c r="C3" s="17">
        <v>7.9512195121952105E-3</v>
      </c>
      <c r="D3" s="10">
        <v>8505</v>
      </c>
      <c r="E3" s="48">
        <v>-1.6734559854327286E-2</v>
      </c>
      <c r="F3" s="10">
        <v>9314.9</v>
      </c>
      <c r="G3" s="17">
        <v>-4.6056849754221377E-3</v>
      </c>
      <c r="H3" s="10">
        <v>10473.25</v>
      </c>
      <c r="I3" s="17">
        <v>-2.5744186046511585E-2</v>
      </c>
      <c r="J3" s="10">
        <v>16695</v>
      </c>
      <c r="K3" s="50">
        <v>2.9958058717795088E-4</v>
      </c>
      <c r="L3" s="70">
        <f t="shared" ref="L3:L22" si="0">SUM(B3:J3)</f>
        <v>55319.610866788636</v>
      </c>
    </row>
    <row r="4" spans="1:12" x14ac:dyDescent="0.35">
      <c r="A4" s="2" t="s">
        <v>4</v>
      </c>
      <c r="B4" s="10">
        <v>10112.5</v>
      </c>
      <c r="C4" s="17">
        <v>-2.1197309200019443E-2</v>
      </c>
      <c r="D4" s="10">
        <v>8475.7501200000006</v>
      </c>
      <c r="E4" s="48">
        <v>-1.1574330029154501E-2</v>
      </c>
      <c r="F4" s="10">
        <v>9461.1</v>
      </c>
      <c r="G4" s="17">
        <v>1.3530016711659714E-2</v>
      </c>
      <c r="H4" s="10">
        <v>10660.75</v>
      </c>
      <c r="I4" s="17">
        <v>1.4343482397716503E-2</v>
      </c>
      <c r="J4" s="10">
        <v>16933.5</v>
      </c>
      <c r="K4" s="50">
        <v>2.624162904154417E-2</v>
      </c>
      <c r="L4" s="70">
        <f t="shared" si="0"/>
        <v>55643.595221859883</v>
      </c>
    </row>
    <row r="5" spans="1:12" x14ac:dyDescent="0.35">
      <c r="A5" s="2" t="s">
        <v>5</v>
      </c>
      <c r="B5" s="10">
        <v>10024</v>
      </c>
      <c r="C5" s="17">
        <v>-1.1391094235416014E-2</v>
      </c>
      <c r="D5" s="10">
        <v>8766.5002449999993</v>
      </c>
      <c r="E5" s="48">
        <v>2.8690462515506228E-2</v>
      </c>
      <c r="F5" s="10">
        <v>9298.7000000000007</v>
      </c>
      <c r="G5" s="17">
        <v>-1.7165023094566131E-2</v>
      </c>
      <c r="H5" s="10">
        <v>10801.5</v>
      </c>
      <c r="I5" s="17">
        <v>7.4851346624694795E-3</v>
      </c>
      <c r="J5" s="10">
        <v>17180</v>
      </c>
      <c r="K5" s="50">
        <v>-1.264367816091954E-2</v>
      </c>
      <c r="L5" s="70">
        <f t="shared" si="0"/>
        <v>56070.707864479853</v>
      </c>
    </row>
    <row r="6" spans="1:12" x14ac:dyDescent="0.35">
      <c r="A6" s="2" t="s">
        <v>6</v>
      </c>
      <c r="B6" s="10">
        <v>10053</v>
      </c>
      <c r="C6" s="17">
        <v>2.985074626865219E-4</v>
      </c>
      <c r="D6" s="10">
        <v>8821.7498799999994</v>
      </c>
      <c r="E6" s="48">
        <v>-3.2765855556659081E-3</v>
      </c>
      <c r="F6" s="10">
        <v>9363.5</v>
      </c>
      <c r="G6" s="17">
        <v>6.8279569892473121E-3</v>
      </c>
      <c r="H6" s="10">
        <v>10762.5</v>
      </c>
      <c r="I6" s="17">
        <v>5.3713218122372723E-3</v>
      </c>
      <c r="J6" s="10">
        <v>18580</v>
      </c>
      <c r="K6" s="50">
        <v>7.3988439306358386E-2</v>
      </c>
      <c r="L6" s="70">
        <f t="shared" si="0"/>
        <v>57580.759101200711</v>
      </c>
    </row>
    <row r="7" spans="1:12" x14ac:dyDescent="0.35">
      <c r="A7" s="2" t="s">
        <v>7</v>
      </c>
      <c r="B7" s="10">
        <v>10195.5</v>
      </c>
      <c r="C7" s="17">
        <v>9.4554455445544101E-3</v>
      </c>
      <c r="D7" s="10">
        <v>8867.5</v>
      </c>
      <c r="E7" s="48">
        <v>-1.4076576576576576E-3</v>
      </c>
      <c r="F7" s="10">
        <v>9387.7999999999993</v>
      </c>
      <c r="G7" s="17">
        <v>7.2746781115879044E-3</v>
      </c>
      <c r="H7" s="10">
        <v>11269.25</v>
      </c>
      <c r="I7" s="17">
        <v>4.2966219342896766E-2</v>
      </c>
      <c r="J7" s="10">
        <v>18150.5</v>
      </c>
      <c r="K7" s="50">
        <v>-2.9385026737967938E-2</v>
      </c>
      <c r="L7" s="70">
        <f t="shared" si="0"/>
        <v>57870.608288685333</v>
      </c>
    </row>
    <row r="8" spans="1:12" x14ac:dyDescent="0.35">
      <c r="A8" s="2" t="s">
        <v>8</v>
      </c>
      <c r="B8" s="10">
        <v>10344.5</v>
      </c>
      <c r="C8" s="17">
        <v>-1.283519419791969E-2</v>
      </c>
      <c r="D8" s="10">
        <v>8786.25</v>
      </c>
      <c r="E8" s="48">
        <v>-1.1670416197975254E-2</v>
      </c>
      <c r="F8" s="10">
        <v>9345.9</v>
      </c>
      <c r="G8" s="17">
        <v>4.9354838709677025E-3</v>
      </c>
      <c r="H8" s="10">
        <v>11286.25</v>
      </c>
      <c r="I8" s="17">
        <v>3.8468380325536295E-3</v>
      </c>
      <c r="J8" s="10">
        <v>17600</v>
      </c>
      <c r="K8" s="50">
        <v>-2.4849710502257757E-2</v>
      </c>
      <c r="L8" s="70">
        <f t="shared" si="0"/>
        <v>57362.884276711506</v>
      </c>
    </row>
    <row r="9" spans="1:12" x14ac:dyDescent="0.35">
      <c r="A9" s="2" t="s">
        <v>9</v>
      </c>
      <c r="B9" s="10">
        <v>10253.5</v>
      </c>
      <c r="C9" s="17">
        <v>-8.8448525857903245E-3</v>
      </c>
      <c r="D9" s="10">
        <v>8791.7498799999994</v>
      </c>
      <c r="E9" s="48">
        <v>-9.3751363636365357E-4</v>
      </c>
      <c r="F9" s="10">
        <v>9390.9</v>
      </c>
      <c r="G9" s="17">
        <v>4.8041943077251912E-3</v>
      </c>
      <c r="H9" s="10">
        <v>11148.5</v>
      </c>
      <c r="I9" s="17">
        <v>-5.8269834155095558E-4</v>
      </c>
      <c r="J9" s="10">
        <v>18067</v>
      </c>
      <c r="K9" s="50">
        <v>2.5368898978433623E-2</v>
      </c>
      <c r="L9" s="70">
        <f t="shared" si="0"/>
        <v>57651.644319129744</v>
      </c>
    </row>
    <row r="10" spans="1:12" x14ac:dyDescent="0.35">
      <c r="A10" s="2" t="s">
        <v>10</v>
      </c>
      <c r="B10" s="10">
        <v>10276</v>
      </c>
      <c r="C10" s="17">
        <v>-8.5387621207005989E-3</v>
      </c>
      <c r="D10" s="10">
        <v>8877.7502449999993</v>
      </c>
      <c r="E10" s="48">
        <v>4.9524562810333043E-3</v>
      </c>
      <c r="F10" s="10">
        <v>9705.7000000000007</v>
      </c>
      <c r="G10" s="17">
        <v>3.3257747543461988E-2</v>
      </c>
      <c r="H10" s="10">
        <v>11220</v>
      </c>
      <c r="I10" s="17">
        <v>3.1291908806437194E-3</v>
      </c>
      <c r="J10" s="10">
        <v>18694.5</v>
      </c>
      <c r="K10" s="50">
        <v>2.7170329670329695E-2</v>
      </c>
      <c r="L10" s="70">
        <f t="shared" si="0"/>
        <v>58773.983045632587</v>
      </c>
    </row>
    <row r="11" spans="1:12" x14ac:dyDescent="0.35">
      <c r="A11" s="2" t="s">
        <v>11</v>
      </c>
      <c r="B11" s="10">
        <v>10360</v>
      </c>
      <c r="C11" s="17">
        <v>4.849660523763337E-3</v>
      </c>
      <c r="D11" s="10">
        <v>8751.7498799999994</v>
      </c>
      <c r="E11" s="48">
        <v>-1.5402144402780682E-3</v>
      </c>
      <c r="F11" s="10">
        <v>9761.9</v>
      </c>
      <c r="G11" s="17">
        <v>1.2120269569725209E-2</v>
      </c>
      <c r="H11" s="10">
        <v>11132.25</v>
      </c>
      <c r="I11" s="17">
        <v>-1.1630746010254709E-2</v>
      </c>
      <c r="J11" s="10">
        <v>18737</v>
      </c>
      <c r="K11" s="50">
        <v>-2.714498616137912E-3</v>
      </c>
      <c r="L11" s="70">
        <f t="shared" si="0"/>
        <v>58742.90367896964</v>
      </c>
    </row>
    <row r="12" spans="1:12" x14ac:dyDescent="0.35">
      <c r="A12" s="11" t="s">
        <v>12</v>
      </c>
      <c r="B12" s="10">
        <v>11201.5</v>
      </c>
      <c r="C12" s="17">
        <v>9.2829268292683009E-2</v>
      </c>
      <c r="D12" s="10">
        <v>9040.9997550000007</v>
      </c>
      <c r="E12" s="48">
        <v>2.5899918147515886E-2</v>
      </c>
      <c r="F12" s="10">
        <v>9586.6</v>
      </c>
      <c r="G12" s="17">
        <v>-1.393731806914144E-2</v>
      </c>
      <c r="H12" s="10">
        <v>10879</v>
      </c>
      <c r="I12" s="17">
        <v>-2.2749219609692398E-2</v>
      </c>
      <c r="J12" s="10">
        <v>18613</v>
      </c>
      <c r="K12" s="50">
        <v>-1.0998937300743914E-2</v>
      </c>
      <c r="L12" s="70">
        <f t="shared" si="0"/>
        <v>59321.181797648758</v>
      </c>
    </row>
    <row r="13" spans="1:12" x14ac:dyDescent="0.35">
      <c r="A13" s="11" t="s">
        <v>13</v>
      </c>
      <c r="B13" s="10">
        <v>11600.5</v>
      </c>
      <c r="C13" s="17">
        <v>4.5090090090090046E-2</v>
      </c>
      <c r="D13" s="10">
        <v>8990.9997550000007</v>
      </c>
      <c r="E13" s="48">
        <v>-5.5303618355202573E-3</v>
      </c>
      <c r="F13" s="10">
        <v>9541.9</v>
      </c>
      <c r="G13" s="17">
        <v>-4.6627584336470414E-3</v>
      </c>
      <c r="H13" s="10">
        <v>10924.25</v>
      </c>
      <c r="I13" s="17">
        <v>6.8433179723501889E-3</v>
      </c>
      <c r="J13" s="10">
        <v>17801.5</v>
      </c>
      <c r="K13" s="50">
        <v>-4.5495978552278771E-2</v>
      </c>
      <c r="L13" s="70">
        <f t="shared" si="0"/>
        <v>58859.191495287785</v>
      </c>
    </row>
    <row r="14" spans="1:12" x14ac:dyDescent="0.35">
      <c r="A14" s="11" t="s">
        <v>14</v>
      </c>
      <c r="B14" s="10">
        <v>11782</v>
      </c>
      <c r="C14" s="17">
        <v>2.1324549237170715E-2</v>
      </c>
      <c r="D14" s="10">
        <v>8715.2502449999993</v>
      </c>
      <c r="E14" s="48">
        <v>-2.451236958239186E-2</v>
      </c>
      <c r="F14" s="10">
        <v>9490.7999999999993</v>
      </c>
      <c r="G14" s="17">
        <v>-1.2642225031613227E-4</v>
      </c>
      <c r="H14" s="10">
        <v>10983.75</v>
      </c>
      <c r="I14" s="17">
        <v>7.6834862385321105E-3</v>
      </c>
      <c r="J14" s="10">
        <v>17683.5</v>
      </c>
      <c r="K14" s="50">
        <v>-6.1261767598707832E-3</v>
      </c>
      <c r="L14" s="70">
        <f t="shared" si="0"/>
        <v>58655.304614243643</v>
      </c>
    </row>
    <row r="15" spans="1:12" x14ac:dyDescent="0.35">
      <c r="A15" s="11" t="s">
        <v>15</v>
      </c>
      <c r="B15" s="10">
        <v>11560</v>
      </c>
      <c r="C15" s="17">
        <v>-1.7132168515920664E-2</v>
      </c>
      <c r="D15" s="10">
        <v>8663.4997550000007</v>
      </c>
      <c r="E15" s="48">
        <v>-5.3387192881744804E-3</v>
      </c>
      <c r="F15" s="10">
        <v>9485.9</v>
      </c>
      <c r="G15" s="17">
        <v>7.0492064334624592E-3</v>
      </c>
      <c r="H15" s="10">
        <v>10868.5</v>
      </c>
      <c r="I15" s="17">
        <v>-3.6440308940482078E-3</v>
      </c>
      <c r="J15" s="10">
        <v>17643.5</v>
      </c>
      <c r="K15" s="50">
        <v>-3.6827195467427251E-4</v>
      </c>
      <c r="L15" s="70">
        <f t="shared" si="0"/>
        <v>58221.38068928774</v>
      </c>
    </row>
    <row r="16" spans="1:12" x14ac:dyDescent="0.35">
      <c r="A16" s="11" t="s">
        <v>16</v>
      </c>
      <c r="B16" s="10">
        <v>11680</v>
      </c>
      <c r="C16" s="17">
        <v>1.0205846739318417E-2</v>
      </c>
      <c r="D16" s="10">
        <v>8673.75</v>
      </c>
      <c r="E16" s="48">
        <v>1.7901862137472933E-3</v>
      </c>
      <c r="F16" s="10">
        <v>9466.9</v>
      </c>
      <c r="G16" s="17">
        <v>-1.8451351693306904E-3</v>
      </c>
      <c r="H16" s="10">
        <v>11051</v>
      </c>
      <c r="I16" s="17">
        <v>3.3365866945093445E-3</v>
      </c>
      <c r="J16" s="10">
        <v>17705</v>
      </c>
      <c r="K16" s="50">
        <v>3.2298277425204247E-3</v>
      </c>
      <c r="L16" s="70">
        <f t="shared" si="0"/>
        <v>58576.663487484468</v>
      </c>
    </row>
    <row r="17" spans="1:12" x14ac:dyDescent="0.35">
      <c r="A17" s="2" t="s">
        <v>73</v>
      </c>
      <c r="B17" s="10">
        <v>11821</v>
      </c>
      <c r="C17" s="17">
        <v>3.3849538800022306E-4</v>
      </c>
      <c r="D17" s="10">
        <v>8653.4997550000007</v>
      </c>
      <c r="E17" s="48">
        <v>-3.8500027222222191E-2</v>
      </c>
      <c r="F17" s="10">
        <v>9341.7000000000007</v>
      </c>
      <c r="G17" s="17">
        <v>-2.6906249999999923E-2</v>
      </c>
      <c r="H17" s="10">
        <v>11315.75</v>
      </c>
      <c r="I17" s="17">
        <v>-7.3903508771929428E-3</v>
      </c>
      <c r="J17" s="10">
        <v>17900.5</v>
      </c>
      <c r="K17" s="50">
        <v>2.8291316526610388E-3</v>
      </c>
      <c r="L17" s="70">
        <f t="shared" si="0"/>
        <v>59032.377296867293</v>
      </c>
    </row>
    <row r="18" spans="1:12" x14ac:dyDescent="0.35">
      <c r="A18" s="2" t="s">
        <v>74</v>
      </c>
      <c r="B18" s="10">
        <v>11262</v>
      </c>
      <c r="C18" s="17">
        <v>-4.7208121827411131E-2</v>
      </c>
      <c r="D18" s="10">
        <v>8512.2497550000007</v>
      </c>
      <c r="E18" s="48">
        <v>-1.6976080727214165E-2</v>
      </c>
      <c r="F18" s="10">
        <v>8990.7999999999993</v>
      </c>
      <c r="G18" s="17">
        <v>-3.942391931451527E-2</v>
      </c>
      <c r="H18" s="10">
        <v>10766</v>
      </c>
      <c r="I18" s="17">
        <v>-4.7256637168141671E-2</v>
      </c>
      <c r="J18" s="10">
        <v>16915</v>
      </c>
      <c r="K18" s="50">
        <v>-5.3070592845546639E-2</v>
      </c>
      <c r="L18" s="70">
        <f t="shared" si="0"/>
        <v>56445.898890240962</v>
      </c>
    </row>
    <row r="19" spans="1:12" x14ac:dyDescent="0.35">
      <c r="A19" s="2" t="s">
        <v>75</v>
      </c>
      <c r="B19" s="10">
        <v>11876.5</v>
      </c>
      <c r="C19" s="17">
        <v>5.3815439219166011E-2</v>
      </c>
      <c r="D19" s="10">
        <v>8975.4998799999994</v>
      </c>
      <c r="E19" s="48">
        <v>3.1725933236724832E-2</v>
      </c>
      <c r="F19" s="10">
        <v>9158</v>
      </c>
      <c r="G19" s="17">
        <v>8.7902888237755567E-3</v>
      </c>
      <c r="H19" s="10">
        <v>10809</v>
      </c>
      <c r="I19" s="17">
        <v>7.3390647934577476E-3</v>
      </c>
      <c r="J19" s="10">
        <v>17571.5</v>
      </c>
      <c r="K19" s="50">
        <v>2.8776346604215509E-2</v>
      </c>
      <c r="L19" s="70">
        <f t="shared" si="0"/>
        <v>58390.601550726074</v>
      </c>
    </row>
    <row r="20" spans="1:12" x14ac:dyDescent="0.35">
      <c r="A20" s="2" t="s">
        <v>76</v>
      </c>
      <c r="B20" s="10">
        <v>12139.5</v>
      </c>
      <c r="C20" s="17">
        <v>2.7726041313918048E-2</v>
      </c>
      <c r="D20" s="10">
        <v>9015.2502449999993</v>
      </c>
      <c r="E20" s="48">
        <v>-3.8397519337016882E-3</v>
      </c>
      <c r="F20" s="10">
        <v>9439.5</v>
      </c>
      <c r="G20" s="17">
        <v>3.0738152435029482E-2</v>
      </c>
      <c r="H20" s="10">
        <v>11478</v>
      </c>
      <c r="I20" s="17">
        <v>3.4706571711890385E-2</v>
      </c>
      <c r="J20" s="10">
        <v>18368</v>
      </c>
      <c r="K20" s="50">
        <v>4.5329084028113628E-2</v>
      </c>
      <c r="L20" s="70">
        <f t="shared" si="0"/>
        <v>60440.339576013524</v>
      </c>
    </row>
    <row r="21" spans="1:12" x14ac:dyDescent="0.35">
      <c r="A21" s="2" t="s">
        <v>77</v>
      </c>
      <c r="B21" s="10">
        <v>11984</v>
      </c>
      <c r="C21" s="17">
        <v>-1.7704918032786812E-2</v>
      </c>
      <c r="D21" s="10">
        <v>9624.0002449999993</v>
      </c>
      <c r="E21" s="48">
        <v>6.1665774407060094E-2</v>
      </c>
      <c r="F21" s="10">
        <v>9524</v>
      </c>
      <c r="G21" s="17">
        <v>1.3191489361702127E-2</v>
      </c>
      <c r="H21" s="10">
        <v>12358.25</v>
      </c>
      <c r="I21" s="17">
        <v>6.5366379310344863E-2</v>
      </c>
      <c r="J21" s="10">
        <v>19421</v>
      </c>
      <c r="K21" s="50">
        <v>5.5489130434782562E-2</v>
      </c>
      <c r="L21" s="70">
        <f t="shared" si="0"/>
        <v>62911.372763725049</v>
      </c>
    </row>
    <row r="22" spans="1:12" x14ac:dyDescent="0.35">
      <c r="A22" s="2" t="s">
        <v>78</v>
      </c>
      <c r="B22" s="10">
        <v>12081.5</v>
      </c>
      <c r="C22" s="17">
        <v>1.2868879946344849E-2</v>
      </c>
      <c r="D22" s="10">
        <v>9436.5002449999993</v>
      </c>
      <c r="E22" s="48">
        <v>-1.932967056378283E-2</v>
      </c>
      <c r="F22" s="10">
        <v>9565.5</v>
      </c>
      <c r="G22" s="17">
        <v>2.757044615900628E-3</v>
      </c>
      <c r="H22" s="10">
        <v>12779.5</v>
      </c>
      <c r="I22" s="17">
        <v>1.4246031746031783E-2</v>
      </c>
      <c r="J22" s="10">
        <v>19105.5</v>
      </c>
      <c r="K22" s="50">
        <v>-1.2635658914728705E-2</v>
      </c>
      <c r="L22" s="70">
        <f t="shared" si="0"/>
        <v>62968.510787285748</v>
      </c>
    </row>
    <row r="23" spans="1:12" x14ac:dyDescent="0.35">
      <c r="K23" s="27"/>
    </row>
    <row r="24" spans="1:12" x14ac:dyDescent="0.35">
      <c r="K24" s="27"/>
      <c r="L24" s="20">
        <f>(L22-L2)/L2*100</f>
        <v>12.071754737949931</v>
      </c>
    </row>
    <row r="25" spans="1:12" x14ac:dyDescent="0.35">
      <c r="B25" s="10"/>
      <c r="C25" s="10"/>
      <c r="D25" s="10"/>
      <c r="E25" s="10"/>
      <c r="F25" s="10"/>
      <c r="G25" s="10"/>
      <c r="H25" s="10"/>
      <c r="I25" s="10"/>
      <c r="J25" s="10"/>
      <c r="K25" s="27"/>
      <c r="L25" s="71">
        <f>L22-L2</f>
        <v>6782.6226172281749</v>
      </c>
    </row>
    <row r="26" spans="1:12" x14ac:dyDescent="0.35">
      <c r="K26" s="27"/>
    </row>
  </sheetData>
  <pageMargins left="0.7" right="0.7" top="0.75" bottom="0.75" header="0.3" footer="0.3"/>
  <pageSetup paperSize="9" scale="4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A0166-1CF9-D44A-AACB-5E8FB57C567A}">
  <dimension ref="D4:D11"/>
  <sheetViews>
    <sheetView workbookViewId="0">
      <selection activeCell="D12" sqref="D12"/>
    </sheetView>
  </sheetViews>
  <sheetFormatPr baseColWidth="10" defaultRowHeight="16" x14ac:dyDescent="0.2"/>
  <sheetData>
    <row r="4" spans="4:4" x14ac:dyDescent="0.2">
      <c r="D4">
        <f>(1842/10239.5)*100</f>
        <v>17.98915962693491</v>
      </c>
    </row>
    <row r="6" spans="4:4" x14ac:dyDescent="0.2">
      <c r="D6">
        <f>225.5/9340 *100</f>
        <v>2.4143468950749463</v>
      </c>
    </row>
    <row r="8" spans="4:4" x14ac:dyDescent="0.2">
      <c r="D8">
        <f>2029.75/10749.8*100</f>
        <v>18.88174663714674</v>
      </c>
    </row>
    <row r="11" spans="4:4" x14ac:dyDescent="0.2">
      <c r="D11">
        <f>(91.5/9345)*100</f>
        <v>0.9791332263242376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List of Stocks</vt:lpstr>
      <vt:lpstr>MidCap Glenmark</vt:lpstr>
      <vt:lpstr>MidCap Cyient</vt:lpstr>
      <vt:lpstr>MidCap EicherMot</vt:lpstr>
      <vt:lpstr>Small Cap Raymond</vt:lpstr>
      <vt:lpstr>Small Cap Styrenix</vt:lpstr>
      <vt:lpstr>Consolidated sheet</vt:lpstr>
      <vt:lpstr>P L</vt:lpstr>
      <vt:lpstr>'Consolidated sheet'!Print_Area</vt:lpstr>
      <vt:lpstr>'List of Stocks'!Print_Area</vt:lpstr>
      <vt:lpstr>'MidCap Cyient'!Print_Area</vt:lpstr>
      <vt:lpstr>'MidCap EicherMot'!Print_Area</vt:lpstr>
      <vt:lpstr>'MidCap Glenmark'!Print_Area</vt:lpstr>
      <vt:lpstr>'Small Cap Raymond'!Print_Area</vt:lpstr>
      <vt:lpstr>'Small Cap Styrenix'!Print_Area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Chadha</dc:creator>
  <cp:lastModifiedBy>Shruti Chadha</cp:lastModifiedBy>
  <cp:lastPrinted>2024-06-19T16:56:10Z</cp:lastPrinted>
  <dcterms:created xsi:type="dcterms:W3CDTF">2024-05-11T13:28:13Z</dcterms:created>
  <dcterms:modified xsi:type="dcterms:W3CDTF">2024-11-14T04:59:55Z</dcterms:modified>
</cp:coreProperties>
</file>